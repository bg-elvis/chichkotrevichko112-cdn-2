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filterPrivacy="1" codeName="ThisWorkbook"/>
  <xr:revisionPtr revIDLastSave="0" documentId="13_ncr:1_{4276D11A-8C14-48A4-AEBE-E83B36BC67FA}" xr6:coauthVersionLast="46" xr6:coauthVersionMax="46" xr10:uidLastSave="{00000000-0000-0000-0000-000000000000}"/>
  <bookViews>
    <workbookView xWindow="-108" yWindow="-108" windowWidth="23256" windowHeight="12576" firstSheet="4" activeTab="11" xr2:uid="{00000000-000D-0000-FFFF-FFFF00000000}"/>
  </bookViews>
  <sheets>
    <sheet name="Съдържание" sheetId="1" r:id="rId1"/>
    <sheet name="СБ" sheetId="2" r:id="rId2"/>
    <sheet name="СБ съкратен" sheetId="3" r:id="rId3"/>
    <sheet name="Баланс за публ.2020" sheetId="16" r:id="rId4"/>
    <sheet name="ОПР за публ.2020" sheetId="15" r:id="rId5"/>
    <sheet name="ОПР" sheetId="4" r:id="rId6"/>
    <sheet name="ОПР съкратен" sheetId="9" r:id="rId7"/>
    <sheet name="ОПП" sheetId="6" r:id="rId8"/>
    <sheet name="ОСК" sheetId="7" r:id="rId9"/>
    <sheet name="ДА" sheetId="8" r:id="rId10"/>
    <sheet name="ОПР в стотинки" sheetId="11" r:id="rId11"/>
    <sheet name="Контроли" sheetId="10" r:id="rId12"/>
    <sheet name="ОПР съкратен едностранна форма" sheetId="14" r:id="rId13"/>
    <sheet name="ОПОВЕСТЯВАНИЯ КЪМ СБ-СЪКРАТЕН" sheetId="13" r:id="rId14"/>
  </sheets>
  <functionGroups builtInGroupCount="19"/>
  <definedNames>
    <definedName name="_xlnm._FilterDatabase" localSheetId="3" hidden="1">'Баланс за публ.2020'!$H$1:$H$33</definedName>
    <definedName name="_xlnm._FilterDatabase" localSheetId="9" hidden="1">ДА!$S$1:$S$44</definedName>
    <definedName name="_xlnm._FilterDatabase" localSheetId="7" hidden="1">ОПП!$L$1:$L$59</definedName>
    <definedName name="_xlnm._FilterDatabase" localSheetId="6" hidden="1">'ОПР съкратен'!$I$1:$I$33</definedName>
    <definedName name="_xlnm._FilterDatabase" localSheetId="12" hidden="1">'ОПР съкратен едностранна форма'!$H$1:$H$30</definedName>
    <definedName name="_xlnm._FilterDatabase" localSheetId="8" hidden="1">ОСК!$P$1:$P$40</definedName>
    <definedName name="_xlnm._FilterDatabase" localSheetId="2" hidden="1">'СБ съкратен'!$H$1:$H$52</definedName>
    <definedName name="_xlnm.Print_Area" localSheetId="3">'Баланс за публ.2020'!$A$2:$G$52</definedName>
    <definedName name="_xlnm.Print_Area" localSheetId="7">ОПП!$A$2:$H$62</definedName>
    <definedName name="_xlnm.Print_Area" localSheetId="5">ОПР!$A$2:$G$53</definedName>
    <definedName name="_xlnm.Print_Area" localSheetId="10">'ОПР в стотинки'!$A$2:$G$52</definedName>
    <definedName name="_xlnm.Print_Area" localSheetId="4">'ОПР за публ.2020'!$A$2:$G$29</definedName>
    <definedName name="_xlnm.Print_Area" localSheetId="6">'ОПР съкратен'!$A$2:$G$57</definedName>
    <definedName name="_xlnm.Print_Area" localSheetId="12">'ОПР съкратен едностранна форма'!$A$2:$E$32</definedName>
    <definedName name="_xlnm.Print_Area" localSheetId="8">ОСК!$A$2:$L$44</definedName>
    <definedName name="_xlnm.Print_Area" localSheetId="1">СБ!$A$2:$F$86</definedName>
    <definedName name="_xlnm.Print_Area" localSheetId="2">'СБ съкратен'!$A$2:$F$105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1" i="2" l="1"/>
  <c r="C40" i="2"/>
  <c r="E5" i="4" l="1"/>
  <c r="E5" i="15" l="1"/>
  <c r="A5" i="15"/>
  <c r="A4" i="15"/>
  <c r="C17" i="16"/>
  <c r="B17" i="16"/>
  <c r="C14" i="16"/>
  <c r="B14" i="16"/>
  <c r="D31" i="16"/>
  <c r="A31" i="16"/>
  <c r="A28" i="16"/>
  <c r="A27" i="16"/>
  <c r="A7" i="16"/>
  <c r="D6" i="16"/>
  <c r="A6" i="16"/>
  <c r="A4" i="16"/>
  <c r="G26" i="11" l="1"/>
  <c r="F26" i="11"/>
  <c r="C33" i="11"/>
  <c r="B33" i="11"/>
  <c r="C26" i="11"/>
  <c r="B26" i="11"/>
  <c r="B28" i="14" l="1"/>
  <c r="B25" i="14"/>
  <c r="B22" i="14"/>
  <c r="B6" i="14"/>
  <c r="D5" i="14"/>
  <c r="B5" i="14"/>
  <c r="B4" i="14"/>
  <c r="E16" i="14"/>
  <c r="D16" i="14"/>
  <c r="H16" i="14" l="1"/>
  <c r="F22" i="3"/>
  <c r="E22" i="3"/>
  <c r="G24" i="11" l="1"/>
  <c r="F24" i="11"/>
  <c r="G22" i="11"/>
  <c r="F22" i="11"/>
  <c r="C31" i="11"/>
  <c r="B31" i="11"/>
  <c r="C22" i="11"/>
  <c r="B22" i="11"/>
  <c r="E10" i="14" l="1"/>
  <c r="D10" i="14"/>
  <c r="E14" i="14"/>
  <c r="D14" i="14"/>
  <c r="D13" i="14"/>
  <c r="E13" i="14"/>
  <c r="E12" i="14"/>
  <c r="D12" i="14"/>
  <c r="E15" i="14"/>
  <c r="D11" i="14"/>
  <c r="E11" i="14"/>
  <c r="C4" i="10"/>
  <c r="B4" i="10"/>
  <c r="H10" i="14" l="1"/>
  <c r="H14" i="14"/>
  <c r="H12" i="14"/>
  <c r="H13" i="14"/>
  <c r="E17" i="14"/>
  <c r="D15" i="14"/>
  <c r="H15" i="14" s="1"/>
  <c r="H11" i="14"/>
  <c r="D50" i="3"/>
  <c r="A50" i="3"/>
  <c r="A47" i="3"/>
  <c r="A46" i="3"/>
  <c r="D17" i="14" l="1"/>
  <c r="C46" i="4"/>
  <c r="B45" i="2"/>
  <c r="A23" i="3" l="1"/>
  <c r="G17" i="9" l="1"/>
  <c r="G16" i="9"/>
  <c r="F16" i="9"/>
  <c r="G15" i="9"/>
  <c r="G14" i="9"/>
  <c r="F14" i="9"/>
  <c r="G13" i="9"/>
  <c r="F13" i="9"/>
  <c r="C21" i="9"/>
  <c r="B21" i="9"/>
  <c r="C20" i="9"/>
  <c r="B20" i="9"/>
  <c r="C18" i="9"/>
  <c r="C17" i="9"/>
  <c r="B17" i="9"/>
  <c r="C16" i="9"/>
  <c r="C14" i="9"/>
  <c r="F19" i="3"/>
  <c r="E19" i="3"/>
  <c r="F16" i="3"/>
  <c r="E16" i="3"/>
  <c r="F15" i="3"/>
  <c r="E15" i="3"/>
  <c r="F14" i="3"/>
  <c r="E14" i="3"/>
  <c r="C29" i="3"/>
  <c r="B29" i="3"/>
  <c r="B23" i="3"/>
  <c r="C18" i="3"/>
  <c r="B18" i="3"/>
  <c r="C13" i="3"/>
  <c r="B13" i="3"/>
  <c r="F15" i="9" l="1"/>
  <c r="F25" i="3"/>
  <c r="F24" i="3"/>
  <c r="E24" i="3" l="1"/>
  <c r="E25" i="3"/>
  <c r="E52" i="11"/>
  <c r="A52" i="11"/>
  <c r="A49" i="11"/>
  <c r="A48" i="11"/>
  <c r="C38" i="11"/>
  <c r="B38" i="11"/>
  <c r="G31" i="11"/>
  <c r="F31" i="11"/>
  <c r="C21" i="11"/>
  <c r="B21" i="11"/>
  <c r="G19" i="11"/>
  <c r="F19" i="11"/>
  <c r="C17" i="11"/>
  <c r="B17" i="11"/>
  <c r="C14" i="11"/>
  <c r="C30" i="11" s="1"/>
  <c r="B14" i="11"/>
  <c r="G13" i="11"/>
  <c r="F13" i="11"/>
  <c r="F21" i="11" s="1"/>
  <c r="A6" i="11"/>
  <c r="E5" i="11"/>
  <c r="A5" i="11"/>
  <c r="A4" i="11"/>
  <c r="L44" i="8"/>
  <c r="E44" i="8"/>
  <c r="A44" i="8"/>
  <c r="A7" i="8"/>
  <c r="G40" i="7"/>
  <c r="A40" i="7"/>
  <c r="A37" i="7"/>
  <c r="F6" i="7"/>
  <c r="A6" i="7"/>
  <c r="E53" i="4"/>
  <c r="E28" i="15" s="1"/>
  <c r="A53" i="4"/>
  <c r="A28" i="15" s="1"/>
  <c r="A49" i="4"/>
  <c r="A24" i="15" s="1"/>
  <c r="A50" i="4"/>
  <c r="A25" i="15" s="1"/>
  <c r="F17" i="9"/>
  <c r="B16" i="9"/>
  <c r="C15" i="9"/>
  <c r="B15" i="9"/>
  <c r="B14" i="9"/>
  <c r="C13" i="9"/>
  <c r="B13" i="9"/>
  <c r="A80" i="2"/>
  <c r="G21" i="11" l="1"/>
  <c r="C40" i="11"/>
  <c r="G40" i="11"/>
  <c r="F40" i="11"/>
  <c r="B30" i="11"/>
  <c r="B40" i="11" s="1"/>
  <c r="G19" i="9"/>
  <c r="F19" i="9"/>
  <c r="C39" i="11" l="1"/>
  <c r="F44" i="11"/>
  <c r="G44" i="11"/>
  <c r="G39" i="11"/>
  <c r="C41" i="11"/>
  <c r="C44" i="11"/>
  <c r="C45" i="11" s="1"/>
  <c r="G41" i="11"/>
  <c r="G45" i="11" s="1"/>
  <c r="F41" i="11"/>
  <c r="F45" i="11" s="1"/>
  <c r="F39" i="11"/>
  <c r="B44" i="11"/>
  <c r="B45" i="11" s="1"/>
  <c r="B41" i="11"/>
  <c r="B39" i="11"/>
  <c r="B7" i="10" l="1"/>
  <c r="B22" i="9"/>
  <c r="B19" i="9"/>
  <c r="B6" i="10"/>
  <c r="C22" i="9"/>
  <c r="C19" i="9"/>
  <c r="B23" i="9"/>
  <c r="C23" i="9"/>
  <c r="F23" i="9" l="1"/>
  <c r="G22" i="9"/>
  <c r="G23" i="9"/>
  <c r="C7" i="10"/>
  <c r="C6" i="10"/>
  <c r="S39" i="8"/>
  <c r="S37" i="8"/>
  <c r="S27" i="8"/>
  <c r="S19" i="8"/>
  <c r="G6" i="8" l="1"/>
  <c r="A6" i="8"/>
  <c r="A5" i="8"/>
  <c r="A5" i="7"/>
  <c r="D5" i="6"/>
  <c r="A5" i="6"/>
  <c r="A4" i="6"/>
  <c r="E5" i="9"/>
  <c r="A5" i="9"/>
  <c r="A4" i="9"/>
  <c r="E30" i="9"/>
  <c r="E48" i="6" s="1"/>
  <c r="A4" i="4"/>
  <c r="A5" i="4"/>
  <c r="A30" i="9"/>
  <c r="A48" i="6" s="1"/>
  <c r="A26" i="9"/>
  <c r="A44" i="6" s="1"/>
  <c r="A36" i="7" s="1"/>
  <c r="A43" i="8" s="1"/>
  <c r="D5" i="3"/>
  <c r="A5" i="3"/>
  <c r="D83" i="2"/>
  <c r="A83" i="2"/>
  <c r="A82" i="2"/>
  <c r="D5" i="2"/>
  <c r="A5" i="2"/>
  <c r="A4" i="2"/>
  <c r="A5" i="16" s="1"/>
  <c r="D82" i="2"/>
  <c r="A6" i="3"/>
  <c r="A3" i="3"/>
  <c r="D49" i="3" l="1"/>
  <c r="D30" i="16"/>
  <c r="A49" i="3"/>
  <c r="A30" i="16"/>
  <c r="A27" i="9"/>
  <c r="A45" i="6" s="1"/>
  <c r="F18" i="3"/>
  <c r="E18" i="3"/>
  <c r="F17" i="3"/>
  <c r="E17" i="3"/>
  <c r="B69" i="2"/>
  <c r="C26" i="3"/>
  <c r="B64" i="2"/>
  <c r="B26" i="3" s="1"/>
  <c r="C22" i="3"/>
  <c r="B22" i="3"/>
  <c r="C21" i="3"/>
  <c r="B49" i="2"/>
  <c r="B21" i="3" s="1"/>
  <c r="C17" i="3"/>
  <c r="B38" i="2"/>
  <c r="B17" i="3" s="1"/>
  <c r="C16" i="3"/>
  <c r="B29" i="2"/>
  <c r="B16" i="3" s="1"/>
  <c r="C20" i="2"/>
  <c r="C15" i="3" s="1"/>
  <c r="B20" i="2"/>
  <c r="B15" i="3" s="1"/>
  <c r="E47" i="6"/>
  <c r="G39" i="7" s="1"/>
  <c r="L43" i="8" s="1"/>
  <c r="A47" i="6"/>
  <c r="A39" i="7" s="1"/>
  <c r="E43" i="8" s="1"/>
  <c r="A4" i="3"/>
  <c r="F21" i="3" l="1"/>
  <c r="F15" i="16"/>
  <c r="F16" i="16"/>
  <c r="F29" i="3"/>
  <c r="F17" i="16"/>
  <c r="E21" i="3"/>
  <c r="E15" i="16"/>
  <c r="E16" i="16"/>
  <c r="E29" i="3"/>
  <c r="E17" i="16"/>
  <c r="C27" i="3"/>
  <c r="B27" i="3"/>
  <c r="C16" i="16"/>
  <c r="F14" i="16"/>
  <c r="C15" i="16"/>
  <c r="B40" i="2"/>
  <c r="B15" i="16" s="1"/>
  <c r="B16" i="16"/>
  <c r="E14" i="16"/>
  <c r="E19" i="16" l="1"/>
  <c r="F19" i="16"/>
  <c r="C19" i="16"/>
  <c r="B19" i="16"/>
  <c r="C14" i="3"/>
  <c r="C19" i="3"/>
  <c r="F28" i="3"/>
  <c r="F23" i="3"/>
  <c r="E28" i="3"/>
  <c r="E23" i="3"/>
  <c r="F20" i="3"/>
  <c r="F13" i="3"/>
  <c r="E20" i="3"/>
  <c r="E13" i="3"/>
  <c r="C20" i="3"/>
  <c r="C28" i="3"/>
  <c r="B20" i="3"/>
  <c r="B28" i="3"/>
  <c r="B19" i="3"/>
  <c r="B14" i="3"/>
  <c r="B76" i="2"/>
  <c r="F33" i="3"/>
  <c r="C33" i="3"/>
  <c r="L38" i="8"/>
  <c r="O38" i="8" s="1"/>
  <c r="E38" i="8"/>
  <c r="L35" i="8"/>
  <c r="O35" i="8" s="1"/>
  <c r="E35" i="8"/>
  <c r="L34" i="8"/>
  <c r="O34" i="8" s="1"/>
  <c r="E34" i="8"/>
  <c r="H34" i="8" s="1"/>
  <c r="L30" i="8"/>
  <c r="O30" i="8" s="1"/>
  <c r="E30" i="8"/>
  <c r="H30" i="8" s="1"/>
  <c r="L29" i="8"/>
  <c r="O29" i="8" s="1"/>
  <c r="E29" i="8"/>
  <c r="L28" i="8"/>
  <c r="E28" i="8"/>
  <c r="L25" i="8"/>
  <c r="O25" i="8" s="1"/>
  <c r="E25" i="8"/>
  <c r="E22" i="8"/>
  <c r="L21" i="8"/>
  <c r="O21" i="8" s="1"/>
  <c r="E21" i="8"/>
  <c r="N20" i="8"/>
  <c r="M20" i="8"/>
  <c r="G20" i="8"/>
  <c r="F20" i="8"/>
  <c r="C20" i="8"/>
  <c r="N18" i="8"/>
  <c r="M18" i="8"/>
  <c r="K18" i="8"/>
  <c r="J18" i="8"/>
  <c r="I18" i="8"/>
  <c r="G18" i="8"/>
  <c r="F18" i="8"/>
  <c r="D18" i="8"/>
  <c r="C18" i="8"/>
  <c r="B18" i="8"/>
  <c r="L17" i="8"/>
  <c r="O17" i="8" s="1"/>
  <c r="E17" i="8"/>
  <c r="H17" i="8" s="1"/>
  <c r="L16" i="8"/>
  <c r="O16" i="8" s="1"/>
  <c r="E16" i="8"/>
  <c r="H16" i="8" s="1"/>
  <c r="L15" i="8"/>
  <c r="O15" i="8" s="1"/>
  <c r="E15" i="8"/>
  <c r="L14" i="8"/>
  <c r="E14" i="8"/>
  <c r="H14" i="8" s="1"/>
  <c r="L31" i="7"/>
  <c r="P31" i="7" s="1"/>
  <c r="L30" i="7"/>
  <c r="P30" i="7" s="1"/>
  <c r="P28" i="7"/>
  <c r="L27" i="7"/>
  <c r="P27" i="7" s="1"/>
  <c r="L26" i="7"/>
  <c r="P26" i="7" s="1"/>
  <c r="L25" i="7"/>
  <c r="P25" i="7" s="1"/>
  <c r="L24" i="7"/>
  <c r="P24" i="7" s="1"/>
  <c r="L23" i="7"/>
  <c r="P23" i="7" s="1"/>
  <c r="L22" i="7"/>
  <c r="P22" i="7" s="1"/>
  <c r="P21" i="7"/>
  <c r="L20" i="7"/>
  <c r="P20" i="7" s="1"/>
  <c r="L19" i="7"/>
  <c r="P19" i="7" s="1"/>
  <c r="L18" i="7"/>
  <c r="P18" i="7" s="1"/>
  <c r="P16" i="7"/>
  <c r="P15" i="7"/>
  <c r="C10" i="10"/>
  <c r="H36" i="6"/>
  <c r="E36" i="6"/>
  <c r="H35" i="6"/>
  <c r="E35" i="6"/>
  <c r="H32" i="6"/>
  <c r="E32" i="6"/>
  <c r="H31" i="6"/>
  <c r="E31" i="6"/>
  <c r="H28" i="6"/>
  <c r="E28" i="6"/>
  <c r="H27" i="6"/>
  <c r="E27" i="6"/>
  <c r="H26" i="6"/>
  <c r="E26" i="6"/>
  <c r="H25" i="6"/>
  <c r="E25" i="6"/>
  <c r="H24" i="6"/>
  <c r="E24" i="6"/>
  <c r="H19" i="6"/>
  <c r="E19" i="6"/>
  <c r="A19" i="6"/>
  <c r="A20" i="6" s="1"/>
  <c r="H17" i="6"/>
  <c r="E17" i="6"/>
  <c r="A16" i="6"/>
  <c r="H14" i="6"/>
  <c r="E14" i="6"/>
  <c r="A14" i="6"/>
  <c r="P34" i="8" l="1"/>
  <c r="L14" i="6"/>
  <c r="L19" i="6"/>
  <c r="L23" i="6"/>
  <c r="L25" i="6"/>
  <c r="L27" i="6"/>
  <c r="L31" i="6"/>
  <c r="L35" i="6"/>
  <c r="B10" i="10"/>
  <c r="B33" i="3"/>
  <c r="B3" i="10"/>
  <c r="C3" i="10"/>
  <c r="E33" i="3"/>
  <c r="L33" i="6"/>
  <c r="L37" i="6"/>
  <c r="P30" i="8"/>
  <c r="P17" i="8"/>
  <c r="S17" i="8" s="1"/>
  <c r="L20" i="8"/>
  <c r="O20" i="8" s="1"/>
  <c r="P16" i="8"/>
  <c r="S16" i="8" s="1"/>
  <c r="O28" i="8"/>
  <c r="S30" i="8"/>
  <c r="L18" i="8"/>
  <c r="H35" i="8"/>
  <c r="P35" i="8" s="1"/>
  <c r="H38" i="8"/>
  <c r="P38" i="8" s="1"/>
  <c r="E18" i="8"/>
  <c r="H15" i="8"/>
  <c r="P15" i="8" s="1"/>
  <c r="O14" i="8"/>
  <c r="O18" i="8" s="1"/>
  <c r="H21" i="8"/>
  <c r="P21" i="8" s="1"/>
  <c r="H22" i="8"/>
  <c r="H25" i="8"/>
  <c r="P25" i="8" s="1"/>
  <c r="H28" i="8"/>
  <c r="H29" i="8"/>
  <c r="P29" i="8" s="1"/>
  <c r="S34" i="8"/>
  <c r="L17" i="6"/>
  <c r="L13" i="6"/>
  <c r="L16" i="6"/>
  <c r="L18" i="6"/>
  <c r="L15" i="6"/>
  <c r="L20" i="6"/>
  <c r="L24" i="6"/>
  <c r="L26" i="6"/>
  <c r="L28" i="6"/>
  <c r="L32" i="6"/>
  <c r="L34" i="6"/>
  <c r="L36" i="6"/>
  <c r="S23" i="8"/>
  <c r="E20" i="8"/>
  <c r="P32" i="7" l="1"/>
  <c r="B9" i="10"/>
  <c r="C9" i="10"/>
  <c r="S24" i="8"/>
  <c r="P28" i="8"/>
  <c r="S28" i="8" s="1"/>
  <c r="S25" i="8"/>
  <c r="H18" i="8"/>
  <c r="S22" i="8"/>
  <c r="S21" i="8"/>
  <c r="S35" i="8"/>
  <c r="S29" i="8"/>
  <c r="S31" i="8"/>
  <c r="P14" i="8"/>
  <c r="P18" i="8" s="1"/>
  <c r="S33" i="8"/>
  <c r="S15" i="8"/>
  <c r="S38" i="8"/>
  <c r="S32" i="8"/>
  <c r="H20" i="8"/>
  <c r="S14" i="8" l="1"/>
  <c r="P20" i="8"/>
  <c r="C12" i="10" l="1"/>
  <c r="B12" i="10"/>
  <c r="S20" i="8"/>
  <c r="B13" i="10" l="1"/>
  <c r="C13" i="10"/>
</calcChain>
</file>

<file path=xl/sharedStrings.xml><?xml version="1.0" encoding="utf-8"?>
<sst xmlns="http://schemas.openxmlformats.org/spreadsheetml/2006/main" count="635" uniqueCount="374">
  <si>
    <t>АКТИВ</t>
  </si>
  <si>
    <t>ПАСИВ</t>
  </si>
  <si>
    <t>Раздели, групи, статии</t>
  </si>
  <si>
    <t>Сума (хил. лв)</t>
  </si>
  <si>
    <t>Текуща година</t>
  </si>
  <si>
    <t>Предходна година</t>
  </si>
  <si>
    <t>a</t>
  </si>
  <si>
    <t>А. Записан, но невнесен капитал</t>
  </si>
  <si>
    <t>А. Собствен капитал</t>
  </si>
  <si>
    <t>Б. Нетекущи (дълготрайни) активи</t>
  </si>
  <si>
    <t>І. Нематериални активи</t>
  </si>
  <si>
    <t>I. Записан капитал</t>
  </si>
  <si>
    <t>ІІ. Премии от емисии</t>
  </si>
  <si>
    <t>ІІІ. Резерв от последващи оценки</t>
  </si>
  <si>
    <t>ІV. Резерви</t>
  </si>
  <si>
    <t>1. Продукти от развойна дейност</t>
  </si>
  <si>
    <t>1. Законови резерви</t>
  </si>
  <si>
    <t>2. Концесии, патенти, лицензии, търговски марки, програмни продукти и други подобни права и активи</t>
  </si>
  <si>
    <t>2. Резерв, свързан с изкупени собствени акции</t>
  </si>
  <si>
    <t>3. Търговска репутация</t>
  </si>
  <si>
    <t>3. Резерв съгласно учредителен акт</t>
  </si>
  <si>
    <t>4. Предоставени аванси и нематериални активи в процес на изграждане</t>
  </si>
  <si>
    <t>4. Други резерви</t>
  </si>
  <si>
    <t>Общо за група I:</t>
  </si>
  <si>
    <t>Общо за група IV:</t>
  </si>
  <si>
    <t>II. Дълготрайни материални активи</t>
  </si>
  <si>
    <t>V. Натрупана печалба (загуба) от минали години, в т.ч.:</t>
  </si>
  <si>
    <t>1. Земи и сгради, в това число:</t>
  </si>
  <si>
    <t>неразпределена печалба</t>
  </si>
  <si>
    <t>земи</t>
  </si>
  <si>
    <t>непокрита загуба</t>
  </si>
  <si>
    <t>сгради</t>
  </si>
  <si>
    <t>2. Машини, производствено оборудване и апаратура</t>
  </si>
  <si>
    <t>3. Съоръжения и други</t>
  </si>
  <si>
    <t>4. Предоставени аванси и дълготрайни материални активи в процес на изграждане</t>
  </si>
  <si>
    <t>Общо за група II:</t>
  </si>
  <si>
    <t>Общо за група V:</t>
  </si>
  <si>
    <t>III. Дългосрочни финансови активи</t>
  </si>
  <si>
    <t>VІ. Текуща печалба (загуба)</t>
  </si>
  <si>
    <t>ОБЩО ЗА РАЗДЕЛ А</t>
  </si>
  <si>
    <t>Б. Провизии и сходни задължения</t>
  </si>
  <si>
    <t>1. Акции и дялове на предприятия от група</t>
  </si>
  <si>
    <t>1. Провизии за пенсии и други подобни задължения</t>
  </si>
  <si>
    <t>2. Предоставени заеми, свързани с асоциирани и смесени предприятия</t>
  </si>
  <si>
    <t>2. Провизии за данъци в т.ч.:</t>
  </si>
  <si>
    <t>3. Акции и дялове в асоциирани и смесени предприятия</t>
  </si>
  <si>
    <t>отсрочени данъци</t>
  </si>
  <si>
    <t>4. Предоставени заеми, свързани с асоциирани и смесени предприятия</t>
  </si>
  <si>
    <t>3. Други провизии и сходни задължения</t>
  </si>
  <si>
    <t>5. Дългосрочни инвестиции</t>
  </si>
  <si>
    <t>6. Други заеми</t>
  </si>
  <si>
    <t>7. Изкупени собствени акции номинална стойност…….хил. лв.</t>
  </si>
  <si>
    <t>Общо за група III:</t>
  </si>
  <si>
    <t>ОБЩО ЗА РАЗДЕЛ Б</t>
  </si>
  <si>
    <t>IV. Отсрочени данъци</t>
  </si>
  <si>
    <t>В. Текущи (краткотрайни) активи</t>
  </si>
  <si>
    <t>В. Задължения</t>
  </si>
  <si>
    <t>I. Материални запаси</t>
  </si>
  <si>
    <t>1. Суровини и материали</t>
  </si>
  <si>
    <t>1. Облигационни заеми с отделно посочване на конвертируемите в т.ч.:</t>
  </si>
  <si>
    <t>2. Незавършено производство</t>
  </si>
  <si>
    <t>до 1 година</t>
  </si>
  <si>
    <t>3. Продукция и стоки, в това число:</t>
  </si>
  <si>
    <t>над 1 година</t>
  </si>
  <si>
    <t>продукция</t>
  </si>
  <si>
    <t>2. Задължения към финансови предприятия, в т.ч.:</t>
  </si>
  <si>
    <t>стоки</t>
  </si>
  <si>
    <t>4. Предоставени аванси</t>
  </si>
  <si>
    <t>II. Вземания</t>
  </si>
  <si>
    <t>1. Вземания от клиенити и доставчици, в това число:</t>
  </si>
  <si>
    <t>3. Получени аванси, в т.ч.:</t>
  </si>
  <si>
    <t>над една година</t>
  </si>
  <si>
    <t>2. Вземания от предприятия от група, в това число:</t>
  </si>
  <si>
    <t>4. Задължения към доставчици, в т.ч.:</t>
  </si>
  <si>
    <t>3. Вземания, свързани с асоциирани и смесени предприятия, в това число:</t>
  </si>
  <si>
    <t>4. Други вземания, в това число:</t>
  </si>
  <si>
    <t>5. Задължения по полици, в т.ч.:</t>
  </si>
  <si>
    <t>6. Задължения към предприятия от група, в т.ч.:</t>
  </si>
  <si>
    <t>III. Инвестиции</t>
  </si>
  <si>
    <t>1. Акции и дялове в предприятия от група</t>
  </si>
  <si>
    <t>7. Задължения, свързани с асоциирани и смесени предприятия, в т.ч.:</t>
  </si>
  <si>
    <t>3. Други инвестиции</t>
  </si>
  <si>
    <t>IV. Парични средства, в това число:</t>
  </si>
  <si>
    <t>в брой</t>
  </si>
  <si>
    <t>8. Други задължения, в т.ч.:</t>
  </si>
  <si>
    <t>в безсрочни сметки (депозити)</t>
  </si>
  <si>
    <t xml:space="preserve"> - към персонала, в т.ч.:</t>
  </si>
  <si>
    <t xml:space="preserve"> - осигурителни задължения, в т.ч.:</t>
  </si>
  <si>
    <t xml:space="preserve"> - данъчни задължения, в т.ч.:</t>
  </si>
  <si>
    <t xml:space="preserve"> до 1 година</t>
  </si>
  <si>
    <t>ОБЩО ЗА РАЗДЕЛ В</t>
  </si>
  <si>
    <t>ОБЩО ЗА РАЗДЕЛ В, В Т. Ч.</t>
  </si>
  <si>
    <t xml:space="preserve"> - до 1 година</t>
  </si>
  <si>
    <t xml:space="preserve"> - над 1 година</t>
  </si>
  <si>
    <t>Г. Разходи за бъдещи периоди</t>
  </si>
  <si>
    <t>Г. Финансирания и приходи за бъдещи периоди, в т.ч.:</t>
  </si>
  <si>
    <t xml:space="preserve"> - финансирания</t>
  </si>
  <si>
    <t xml:space="preserve"> - приходи за бъдещи периоди</t>
  </si>
  <si>
    <t>СУМА НА АКТИВА</t>
  </si>
  <si>
    <t>СУМА НА ПАСИВА</t>
  </si>
  <si>
    <t>ОТЧЕТ ЗА ПАРИЧНИТЕ ПОТОЦИ</t>
  </si>
  <si>
    <t>BGN `000</t>
  </si>
  <si>
    <t>Наименовани на паричните потоци</t>
  </si>
  <si>
    <t>Текущ период</t>
  </si>
  <si>
    <t>Предходен период</t>
  </si>
  <si>
    <t>Постъпления</t>
  </si>
  <si>
    <t>Плащания</t>
  </si>
  <si>
    <t>Нетен поток</t>
  </si>
  <si>
    <t>а</t>
  </si>
  <si>
    <t>А.</t>
  </si>
  <si>
    <t>Парични потоци от основна дейност</t>
  </si>
  <si>
    <t>Парични потоци, свързани с търговски контрагенти</t>
  </si>
  <si>
    <t>Парични потоци, свързани с трудови възнаграждения</t>
  </si>
  <si>
    <t>Платени и възстановени данъци върху печалбата</t>
  </si>
  <si>
    <t>Плащания при разпределения на печалби</t>
  </si>
  <si>
    <t>Други парични потоци от основна дейност</t>
  </si>
  <si>
    <t>Всичко парични потоци от основна дейност (А)</t>
  </si>
  <si>
    <t>Б.</t>
  </si>
  <si>
    <t>Парични потоци от инвестиционна дейност</t>
  </si>
  <si>
    <t>Парични потоци, свързани с дълготрайни активи</t>
  </si>
  <si>
    <t>Парични потоци от бизнескомбинации - придобивания</t>
  </si>
  <si>
    <t>Други парични потоци от инвестиционна дейност</t>
  </si>
  <si>
    <t>Всичко парични потоци от инвестиционна дейност (Б)</t>
  </si>
  <si>
    <t>В.</t>
  </si>
  <si>
    <t>Парични потоци от финансова дейност</t>
  </si>
  <si>
    <t>Плащания на задължения по лизингови договори</t>
  </si>
  <si>
    <t>Други парични потоци от финансова дейност</t>
  </si>
  <si>
    <t>Всичко парични потоци от финансова дейност (В)</t>
  </si>
  <si>
    <t>Г.</t>
  </si>
  <si>
    <t>Изменение на паричните средства през периода (А+Б+В)</t>
  </si>
  <si>
    <t>Д.</t>
  </si>
  <si>
    <t>Парични средства в началото на периода</t>
  </si>
  <si>
    <t>Е.</t>
  </si>
  <si>
    <t>Парични средства в края на периода</t>
  </si>
  <si>
    <t>ОТЧЕТ</t>
  </si>
  <si>
    <t>ЗА СОБСТВЕНИЯ КАПИТАЛ</t>
  </si>
  <si>
    <t>Показатели</t>
  </si>
  <si>
    <t>Записан капитал</t>
  </si>
  <si>
    <t>Премии от емисии</t>
  </si>
  <si>
    <t xml:space="preserve">Резерв от последващи оценки </t>
  </si>
  <si>
    <t>Резерви</t>
  </si>
  <si>
    <t>Финансов резултат от минали години</t>
  </si>
  <si>
    <t>Текуща печалба/загуба</t>
  </si>
  <si>
    <t>Общо собствен капитал</t>
  </si>
  <si>
    <t>Законови</t>
  </si>
  <si>
    <t>Резерв, свързан с изкупени собствени акции</t>
  </si>
  <si>
    <t>Резерв, съгласно учредителен акт</t>
  </si>
  <si>
    <t>Други резерви</t>
  </si>
  <si>
    <t>Неразпределена печалба</t>
  </si>
  <si>
    <t>Непокрита загуба</t>
  </si>
  <si>
    <t>1. Салдо в началото на отчетния период</t>
  </si>
  <si>
    <t>2. Промени в счетоводната политика</t>
  </si>
  <si>
    <t>3. Грешки</t>
  </si>
  <si>
    <t>4.Салдо след промени в счетоводната политика и грешки</t>
  </si>
  <si>
    <t>5. Изменение за сметка на собствениците, в т.ч.:</t>
  </si>
  <si>
    <t>-увеличение</t>
  </si>
  <si>
    <t>-намаление</t>
  </si>
  <si>
    <t>6. Финансов резултат от текущия период</t>
  </si>
  <si>
    <t>7. Разпределние на печалба в т.ч.:</t>
  </si>
  <si>
    <t xml:space="preserve"> - за дивиденти</t>
  </si>
  <si>
    <t>8. Покриване на загуба</t>
  </si>
  <si>
    <t>9. Последващи оценки на активи и пасиви</t>
  </si>
  <si>
    <t>-увеличения</t>
  </si>
  <si>
    <t>-намаления</t>
  </si>
  <si>
    <t>10. Други изменения в собствения капитал</t>
  </si>
  <si>
    <t>11. Салдо към края на отчетния период</t>
  </si>
  <si>
    <t>12. Промени от преводи на годишни финансови</t>
  </si>
  <si>
    <t xml:space="preserve">  Отчети на предприятия в чужбина</t>
  </si>
  <si>
    <t xml:space="preserve">13. Собствен капитал към края на отчетния </t>
  </si>
  <si>
    <t xml:space="preserve">     Период (11+/- 12)</t>
  </si>
  <si>
    <t>СПРАВКА</t>
  </si>
  <si>
    <t>Отчетна стойност на нетекущите активи:</t>
  </si>
  <si>
    <t>Последваща оценка</t>
  </si>
  <si>
    <t>Преоценена</t>
  </si>
  <si>
    <t>Амортизация</t>
  </si>
  <si>
    <t>Преоценена амортизация в края на периода (11+12-13)</t>
  </si>
  <si>
    <t>Балансова стойност в края на периода (7-14)</t>
  </si>
  <si>
    <t>в началото на периода</t>
  </si>
  <si>
    <t>на постъпилите през годината</t>
  </si>
  <si>
    <t>на излезлите през периода</t>
  </si>
  <si>
    <t>в края на периода (1+2-3)</t>
  </si>
  <si>
    <t>Увеличение</t>
  </si>
  <si>
    <t>Намаление</t>
  </si>
  <si>
    <t xml:space="preserve"> стойност (4+5-6)</t>
  </si>
  <si>
    <t>начислена през периода</t>
  </si>
  <si>
    <t>Отчислена през периода</t>
  </si>
  <si>
    <t>в края на периода (8+9-10)</t>
  </si>
  <si>
    <t>I.  Нематериални активи</t>
  </si>
  <si>
    <t>Общо за група І:</t>
  </si>
  <si>
    <t>ІI. Дълготрайни материални активи</t>
  </si>
  <si>
    <t>1. Земи и сгради, в т.ч.:</t>
  </si>
  <si>
    <t>2 .Машини, производствено оборудване и апаратура</t>
  </si>
  <si>
    <t>Общо за група ІІ:</t>
  </si>
  <si>
    <t xml:space="preserve">III. Дългосрочни финансови активи </t>
  </si>
  <si>
    <t>2. Предоставени заеми на предприятия от група</t>
  </si>
  <si>
    <t>3. Акциии и дялове в асоциирани и смесени предприятия</t>
  </si>
  <si>
    <t>7. Изкупени собствени акции</t>
  </si>
  <si>
    <t>Общо за група ІІІ:</t>
  </si>
  <si>
    <t>ІV. Отсрочени данъци</t>
  </si>
  <si>
    <t>Общо нетекущи активи (I+II+III+IV)</t>
  </si>
  <si>
    <t>-</t>
  </si>
  <si>
    <t>ОТЧЕТ ЗА ПРИХОДИТЕ И РАЗХОДИТЕ</t>
  </si>
  <si>
    <t>Наименование  на разходите</t>
  </si>
  <si>
    <t>Сума /хил.лв/</t>
  </si>
  <si>
    <t>Наименование  на приходите</t>
  </si>
  <si>
    <t xml:space="preserve">А. РАЗХОДИ </t>
  </si>
  <si>
    <t xml:space="preserve">Б. ПРИХОДИ </t>
  </si>
  <si>
    <t>1. Намаление на запасите от продукция и незавършено производство</t>
  </si>
  <si>
    <t>2. Разходи за суровини, материали и външни услуги в т.ч.:</t>
  </si>
  <si>
    <t>1. Нетни приходи от продажби в т.ч.:</t>
  </si>
  <si>
    <t>а) суровини и материали</t>
  </si>
  <si>
    <t>а) продукция</t>
  </si>
  <si>
    <t>б) външни услуги</t>
  </si>
  <si>
    <t>б) стоки</t>
  </si>
  <si>
    <t>в) услуги</t>
  </si>
  <si>
    <t>3. Разходи за персонала, в т.ч.:</t>
  </si>
  <si>
    <t>2. Увеличение на запасите от продукция и незавършено производство</t>
  </si>
  <si>
    <t>а) разходи за възнаграждения</t>
  </si>
  <si>
    <t xml:space="preserve">б) разходи за осигуровки, вт.ч.: </t>
  </si>
  <si>
    <t xml:space="preserve"> -осигуровки свързани с пенсии</t>
  </si>
  <si>
    <t>4. Разходи за амортизация и обезценка, в т.ч.:</t>
  </si>
  <si>
    <t>3. Разходи за придобиване на активи по стопански начин</t>
  </si>
  <si>
    <t>а) разходи за амортизация и обезценка на дълготрайни материални и нематериални активи, в т.ч.:</t>
  </si>
  <si>
    <t>аа) разходи за амортизация</t>
  </si>
  <si>
    <t>бб) разходи от обезценка</t>
  </si>
  <si>
    <t>б) разходи от обезценка на текущи (краткотрайни) активи</t>
  </si>
  <si>
    <t>5. Други разходи, в т.ч.:</t>
  </si>
  <si>
    <t>4. Други приходи, в т.ч.:</t>
  </si>
  <si>
    <t>а) балансова стойност на продадени активи</t>
  </si>
  <si>
    <t>а) приходи от финансирания</t>
  </si>
  <si>
    <t>б) провизии</t>
  </si>
  <si>
    <t>Общо разходи за оперативната дейност (1+2+3+4+5)</t>
  </si>
  <si>
    <t>Общо приходи от оперативната дейност (1+2+3+4)</t>
  </si>
  <si>
    <t>6. Разходи от обезценка на финансови активи, включително инвестициите, признати като текущи (краткосрочни) активи, в т.ч:</t>
  </si>
  <si>
    <t>5. Приходи от участия в дъщерни, асоциирани и смесени предприятия, в т.ч.:</t>
  </si>
  <si>
    <t>а) отрицателни разлики от промяна на валутни курсове</t>
  </si>
  <si>
    <t>а) приходи от участия в предприятия от група</t>
  </si>
  <si>
    <t>7. Разходи за лихви и други финансови разходи, в т.ч.:</t>
  </si>
  <si>
    <t>6. Приходи от други инвестиции, заеми, признати като нетекущи (дългосрочни) активи, в т.ч.:</t>
  </si>
  <si>
    <t>а) разходи свързани с предприятия от група</t>
  </si>
  <si>
    <t>б) отрицателни разлики от операции с финансови активи</t>
  </si>
  <si>
    <t>7. Други лихви и финансови приходи, в т.ч.:</t>
  </si>
  <si>
    <t>а) приходи от предприятия от група</t>
  </si>
  <si>
    <t>б) положителни разлики от операции с финансови инструменти</t>
  </si>
  <si>
    <t>в) положителни разлики от промяна на валутни курсове</t>
  </si>
  <si>
    <t>Общо финансови разходи (6+7)</t>
  </si>
  <si>
    <t>Общо финансови приходи (5+6+7)</t>
  </si>
  <si>
    <t>8. Печалба от обичайната дейност</t>
  </si>
  <si>
    <t>Загуба от обичайната дейност</t>
  </si>
  <si>
    <t>Общо разходи (1+2+3+4+5+6+7)</t>
  </si>
  <si>
    <t>Общо приходи (1+2+3+4+5+6+7)</t>
  </si>
  <si>
    <t>9. Счетоводна печалба (общо приходи – общо разходи)</t>
  </si>
  <si>
    <t>9. Счетоводна загуба (общо приходи- общо разходи)</t>
  </si>
  <si>
    <t>10. Разходи за данъци от печалбата</t>
  </si>
  <si>
    <t>11. Други данъци, алтернативни на корпоративния данък</t>
  </si>
  <si>
    <t>12. Печалба (9-10-11)</t>
  </si>
  <si>
    <t>10. Загуба (9+ ред 10 и 11 от Раздел А)</t>
  </si>
  <si>
    <t>Всичко (общо разходи + 10 + 11 + 12)</t>
  </si>
  <si>
    <t>Всичко (Общо приходи + 10)</t>
  </si>
  <si>
    <t>Съставител:</t>
  </si>
  <si>
    <t>Ръководител:</t>
  </si>
  <si>
    <t xml:space="preserve">1. Нетни приходи от продажби </t>
  </si>
  <si>
    <t>х</t>
  </si>
  <si>
    <t>СЧЕТОВОДЕН БАЛАНС</t>
  </si>
  <si>
    <t>Приложение № 1 от СС 1, Двустранна форма</t>
  </si>
  <si>
    <t>Приложение № 2 към СС 1, Двустранна форма</t>
  </si>
  <si>
    <t>Приложение № 4 към СС 1</t>
  </si>
  <si>
    <t>1.</t>
  </si>
  <si>
    <t>Попълнете дата на съставяне на отчета:</t>
  </si>
  <si>
    <t>2.</t>
  </si>
  <si>
    <t>Попълнете наименование на фирмата:</t>
  </si>
  <si>
    <t xml:space="preserve">3. </t>
  </si>
  <si>
    <t>Попълнете ЕИК/ ПИК на фирмата:</t>
  </si>
  <si>
    <t>Попълнете адрес на фирмата:</t>
  </si>
  <si>
    <t>Попълнете име на управителя:</t>
  </si>
  <si>
    <t>Попълнете година на отчитане:</t>
  </si>
  <si>
    <t>4.</t>
  </si>
  <si>
    <t>5.</t>
  </si>
  <si>
    <t>6.</t>
  </si>
  <si>
    <t>7.</t>
  </si>
  <si>
    <t>Попълнете име на съставителя:</t>
  </si>
  <si>
    <t>Съдържание:</t>
  </si>
  <si>
    <t>гр. Варна</t>
  </si>
  <si>
    <t>Дата на съставяне:</t>
  </si>
  <si>
    <t>Приложение № 5 към СС 1</t>
  </si>
  <si>
    <t xml:space="preserve">ЗА НЕТЕКУЩИТЕ (ДЪЛГОТРАЙНИ) АКТИВИ </t>
  </si>
  <si>
    <t>Помощна таблица за автоматично разнасяне на данните</t>
  </si>
  <si>
    <t>Приложение № 1 към СС 7</t>
  </si>
  <si>
    <t>Съгласно чл. 29, ал. 4 от Закона за счетоводството</t>
  </si>
  <si>
    <t>2. Изкупени собствени акции номинална стойност……хил. лв</t>
  </si>
  <si>
    <t>1. Счетоводен баланс</t>
  </si>
  <si>
    <t>2. Счетоводен баланс за микро и малки предприятия</t>
  </si>
  <si>
    <t>3. Отчет за приходите и разходите</t>
  </si>
  <si>
    <t>4. Отчт за приходите и разходите, за микро и малки предприятия</t>
  </si>
  <si>
    <t>5. Отчет за паричните потици</t>
  </si>
  <si>
    <t>6. Отчет за собствения капитал</t>
  </si>
  <si>
    <t>7. Справка за нетекущите (дълготрайни) активи</t>
  </si>
  <si>
    <t xml:space="preserve">Общо разходи </t>
  </si>
  <si>
    <t xml:space="preserve">Общо приходи </t>
  </si>
  <si>
    <t>Парични потоци, свързани с лихви, комисионни, дивиденти и други подобни</t>
  </si>
  <si>
    <t>Парични потоци от положителни и отрицателни валутни курсови разлики</t>
  </si>
  <si>
    <t>Парични потоци, свързани с краткосрочни финансови активи</t>
  </si>
  <si>
    <t>Парични потоци от емитиране и обратно придобиване на ценни книжа</t>
  </si>
  <si>
    <t>Парични потоци от допълнителни вноски и връщането им на собствениците</t>
  </si>
  <si>
    <t>Парични потоци, свързани с получени или предоставени заеми</t>
  </si>
  <si>
    <t>Парични потоци от лихви, комисионни, дивиденти и други подобни</t>
  </si>
  <si>
    <t>1. Равнение на актива и пасива за текущата година по СБ</t>
  </si>
  <si>
    <t>7. Равнение на собствения капитал за текущата година по СБ и ОСК</t>
  </si>
  <si>
    <t>8. Равнение на собствения капитал за предходната година по СБ и ОСК</t>
  </si>
  <si>
    <t>9. Равнение на паричните средства за предходната година по СБ и ОПП</t>
  </si>
  <si>
    <t>10. Равнение на паричните средства за текущата година по СБ и ОПП</t>
  </si>
  <si>
    <t>II. Вземания, в това число:</t>
  </si>
  <si>
    <t>IV. Парични средства</t>
  </si>
  <si>
    <t>1. Разходи за суровини, материали и външни услуги</t>
  </si>
  <si>
    <t>2. Разходи за персонала</t>
  </si>
  <si>
    <t>3. Разходи за амортизация и обезценка</t>
  </si>
  <si>
    <t>4. Други разходи</t>
  </si>
  <si>
    <t>7. Разходи за данъци от печалбата</t>
  </si>
  <si>
    <t>8. Други данъци, алтернативни на корпоративния данък</t>
  </si>
  <si>
    <t>2. Други приходи</t>
  </si>
  <si>
    <t>6. Разходи за лихви и други финансови разходи</t>
  </si>
  <si>
    <t>3. Приходи от участия в дъщерни, асоциирани и смесени предприятия</t>
  </si>
  <si>
    <t>4. Приходи от други инвестиции, заеми, признати като нетекущи (дългосрочни) активи</t>
  </si>
  <si>
    <t>5. Други лихви и финансови приходи</t>
  </si>
  <si>
    <t>5. Разходи от обезценка на финансови активи, включително инвестициите, признати като текущи (краткосрочни) активи</t>
  </si>
  <si>
    <t xml:space="preserve">9. Печалба </t>
  </si>
  <si>
    <t>6. Загуба</t>
  </si>
  <si>
    <t>Всичко</t>
  </si>
  <si>
    <t>Г. Финансирания и приходи за бъдещи периоди</t>
  </si>
  <si>
    <t>V. Натрупана печалба (загуба) от минали години</t>
  </si>
  <si>
    <t>ПРОГРАМЕН ПРОДУКТ ЗА ФИНАНСОВИ ОТЧЕТИ</t>
  </si>
  <si>
    <t xml:space="preserve">ИЗГОТВЕВН ОТ СЧЕТОВОДНА КАНТОРА ТЕРА </t>
  </si>
  <si>
    <t>Програмен продукт за финансови отчети, изготвен от Счетоводна кантора ТЕРА- гр. Варна</t>
  </si>
  <si>
    <t>2. Равнение на актива и пасива за предходната година по СБ</t>
  </si>
  <si>
    <t>3. Равнение на финансовия резултат за текущата година по СБ и ОПР</t>
  </si>
  <si>
    <t xml:space="preserve">Оповестяване, съгласно т. 24.3 от СС 1 </t>
  </si>
  <si>
    <t>Размер на всички условни задължения, гаранции или непредвидени разходи, които не са включени в баланса, в т. ч.:</t>
  </si>
  <si>
    <t>Задължения, свързани с пенсии</t>
  </si>
  <si>
    <t>Задължения към свързани или асоциирани предприятия</t>
  </si>
  <si>
    <t>Предоставени аванси и кредити на администранитивния персонал и членовете на управление</t>
  </si>
  <si>
    <t>Върнати суми</t>
  </si>
  <si>
    <t>Отписани суми</t>
  </si>
  <si>
    <t>Лихвен процент и основни условия</t>
  </si>
  <si>
    <t>Задължения, поети чрез всякакъв вид гаранции в полза на:</t>
  </si>
  <si>
    <t>административния персонал</t>
  </si>
  <si>
    <t>членовете на органите на управление</t>
  </si>
  <si>
    <t>Наименование на статиите</t>
  </si>
  <si>
    <t>Нетни приходи от продажби</t>
  </si>
  <si>
    <t>Други приходи</t>
  </si>
  <si>
    <t>Разходи за суровини, материали и външни услуги</t>
  </si>
  <si>
    <t>Разходи за персонала</t>
  </si>
  <si>
    <t>Разходи за амортизации и обезценки</t>
  </si>
  <si>
    <t>Други разходи</t>
  </si>
  <si>
    <t>Разходи за данъци</t>
  </si>
  <si>
    <t>Финансов резултат (печалба или загуба)</t>
  </si>
  <si>
    <t>Сума (хил. лв.)</t>
  </si>
  <si>
    <t>Съгласно т. 20.4 от СС 1</t>
  </si>
  <si>
    <t xml:space="preserve">Програмен поридукт за финансови отчети, изготвен от "Тера Инс" ЕООД- гр. Варна </t>
  </si>
  <si>
    <t>3. Други лихви и финансови приходи</t>
  </si>
  <si>
    <t>5. Разходи за лихви и други финансови разходи</t>
  </si>
  <si>
    <t>1.Към 31.12.2019 г.  няма условни задължения, гаранции и непредвидени разходи които не са включени в Баланса.</t>
  </si>
  <si>
    <t>2.Към 31.12.2019 г. няма предоставени аванси и кредити на административния персонал и членовете на органите на управление</t>
  </si>
  <si>
    <t>3.Към 31.12.2019 г. няма придобиване или прехвърляне на собствени акции.</t>
  </si>
  <si>
    <t>г) други приходи</t>
  </si>
  <si>
    <t>" КАМИБО " ЕООД</t>
  </si>
  <si>
    <t>ЕИК/ПИК: 131157890</t>
  </si>
  <si>
    <t>гр. София 1220, ж.к. Надежда бл. 155, вх. В, ап. 71</t>
  </si>
  <si>
    <t>ДИМИТЪР ЙОРДАНОВ ИВАНОВ</t>
  </si>
  <si>
    <t>ЖАНА МИЛЧОВА ГЪЛЪБОВА</t>
  </si>
  <si>
    <t>в) други разходи по финансови операции</t>
  </si>
  <si>
    <t>г) приходиот други продажби</t>
  </si>
  <si>
    <t>към 31.12.2020 г.</t>
  </si>
  <si>
    <t xml:space="preserve"> към 31.12.2020 година</t>
  </si>
  <si>
    <t>към 31.12.2020 година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</si>
</sst>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??_);_(@_)"/>
    <numFmt numFmtId="165" formatCode="dd\.mm\.yyyy\ &quot;г.&quot;;@"/>
    <numFmt numFmtId="166" formatCode="_(* #,##0.00_);_(* \(#,##0.00\);_(* &quot;-&quot;??_);_(@_)"/>
    <numFmt numFmtId="167" formatCode="dd/mm/yyyy\ &quot;г.&quot;;@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0"/>
      <color indexed="12"/>
      <name val="Arial"/>
      <family val="2"/>
      <charset val="204"/>
    </font>
    <font>
      <b/>
      <sz val="8"/>
      <color theme="1"/>
      <name val="Tahoma"/>
      <family val="2"/>
      <charset val="204"/>
    </font>
    <font>
      <sz val="8"/>
      <color theme="1"/>
      <name val="Tahoma"/>
      <family val="2"/>
      <charset val="204"/>
    </font>
    <font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b/>
      <sz val="11"/>
      <color theme="1"/>
      <name val="Calibri"/>
      <family val="2"/>
      <charset val="204"/>
      <scheme val="minor"/>
    </font>
    <font>
      <sz val="11"/>
      <color theme="1"/>
      <name val="Franklin Gothic Book"/>
      <family val="2"/>
      <charset val="204"/>
    </font>
    <font>
      <b/>
      <sz val="14"/>
      <color theme="1"/>
      <name val="Franklin Gothic Book"/>
      <family val="2"/>
      <charset val="204"/>
    </font>
    <font>
      <b/>
      <sz val="12"/>
      <color theme="1"/>
      <name val="Franklin Gothic Book"/>
      <family val="2"/>
      <charset val="204"/>
    </font>
    <font>
      <b/>
      <sz val="11"/>
      <color theme="1"/>
      <name val="Franklin Gothic Book"/>
      <family val="2"/>
      <charset val="204"/>
    </font>
    <font>
      <i/>
      <sz val="11"/>
      <color theme="1"/>
      <name val="Franklin Gothic Book"/>
      <family val="2"/>
      <charset val="204"/>
    </font>
    <font>
      <b/>
      <sz val="11"/>
      <color theme="0"/>
      <name val="Franklin Gothic Book"/>
      <family val="2"/>
      <charset val="204"/>
    </font>
    <font>
      <i/>
      <sz val="10"/>
      <color theme="1"/>
      <name val="Franklin Gothic Book"/>
      <family val="2"/>
      <charset val="204"/>
    </font>
    <font>
      <sz val="11"/>
      <color theme="2"/>
      <name val="Franklin Gothic Book"/>
      <family val="2"/>
      <charset val="204"/>
    </font>
    <font>
      <b/>
      <sz val="11"/>
      <color theme="2"/>
      <name val="Franklin Gothic Book"/>
      <family val="2"/>
      <charset val="204"/>
    </font>
    <font>
      <u/>
      <sz val="10"/>
      <color indexed="12"/>
      <name val="Franklin Gothic Book"/>
      <family val="2"/>
      <charset val="204"/>
    </font>
    <font>
      <b/>
      <sz val="11"/>
      <name val="Franklin Gothic Book"/>
      <family val="2"/>
      <charset val="204"/>
    </font>
    <font>
      <sz val="11"/>
      <name val="Franklin Gothic Book"/>
      <family val="2"/>
      <charset val="204"/>
    </font>
    <font>
      <i/>
      <sz val="11"/>
      <name val="Franklin Gothic Book"/>
      <family val="2"/>
      <charset val="204"/>
    </font>
    <font>
      <b/>
      <sz val="11"/>
      <color indexed="8"/>
      <name val="Franklin Gothic Book"/>
      <family val="2"/>
      <charset val="204"/>
    </font>
    <font>
      <sz val="12"/>
      <color theme="1"/>
      <name val="Franklin Gothic Book"/>
      <family val="2"/>
      <charset val="204"/>
    </font>
    <font>
      <b/>
      <sz val="10"/>
      <color theme="1"/>
      <name val="Franklin Gothic Book"/>
      <family val="2"/>
      <charset val="204"/>
    </font>
    <font>
      <sz val="10"/>
      <color theme="1"/>
      <name val="Franklin Gothic Book"/>
      <family val="2"/>
      <charset val="204"/>
    </font>
    <font>
      <i/>
      <sz val="8"/>
      <color theme="1"/>
      <name val="Tahoma"/>
      <family val="2"/>
      <charset val="204"/>
    </font>
    <font>
      <sz val="9"/>
      <color theme="1"/>
      <name val="Tahoma"/>
      <family val="2"/>
      <charset val="204"/>
    </font>
    <font>
      <b/>
      <sz val="11"/>
      <color theme="1"/>
      <name val="Times New Roman"/>
      <family val="1"/>
      <charset val="204"/>
    </font>
    <font>
      <u/>
      <sz val="9"/>
      <color indexed="12"/>
      <name val="Arial"/>
      <family val="2"/>
      <charset val="204"/>
    </font>
    <font>
      <b/>
      <sz val="12"/>
      <name val="Franklin Gothic Book"/>
      <family val="2"/>
      <charset val="204"/>
    </font>
    <font>
      <b/>
      <sz val="9"/>
      <color theme="1"/>
      <name val="Tahoma"/>
      <family val="2"/>
    </font>
    <font>
      <sz val="9"/>
      <color theme="1"/>
      <name val="Tahoma"/>
      <family val="2"/>
    </font>
    <font>
      <b/>
      <sz val="14"/>
      <color theme="0"/>
      <name val="Franklin Gothic Book"/>
      <family val="2"/>
      <charset val="204"/>
    </font>
    <font>
      <b/>
      <i/>
      <sz val="10"/>
      <color theme="1"/>
      <name val="Franklin Gothic Book"/>
      <family val="2"/>
      <charset val="204"/>
    </font>
    <font>
      <b/>
      <sz val="9"/>
      <color theme="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4"/>
      <name val="Franklin Gothic Book"/>
      <family val="2"/>
      <charset val="204"/>
    </font>
    <font>
      <b/>
      <sz val="8"/>
      <name val="Tahoma"/>
      <family val="2"/>
      <charset val="204"/>
    </font>
    <font>
      <b/>
      <sz val="8"/>
      <name val="Tahoma"/>
      <family val="2"/>
    </font>
    <font>
      <i/>
      <sz val="11"/>
      <color theme="1"/>
      <name val="Calibri"/>
      <family val="2"/>
      <charset val="204"/>
      <scheme val="minor"/>
    </font>
    <font>
      <sz val="11"/>
      <color theme="0"/>
      <name val="Franklin Gothic Book"/>
      <family val="2"/>
      <charset val="204"/>
    </font>
    <font>
      <i/>
      <sz val="8"/>
      <color theme="1"/>
      <name val="Franklin Gothic Book"/>
      <family val="2"/>
      <charset val="204"/>
    </font>
    <font>
      <i/>
      <u/>
      <sz val="9"/>
      <color indexed="12"/>
      <name val="Franklin Gothic Book"/>
      <family val="2"/>
      <charset val="204"/>
    </font>
    <font>
      <i/>
      <sz val="9"/>
      <color theme="1"/>
      <name val="Franklin Gothic Book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39">
    <border>
      <left/>
      <right/>
      <top/>
      <bottom/>
      <diagonal/>
    </border>
    <border>
      <left style="double">
        <color theme="8" tint="-0.24994659260841701"/>
      </left>
      <right style="double">
        <color theme="8" tint="-0.24994659260841701"/>
      </right>
      <top style="double">
        <color theme="8" tint="-0.24994659260841701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thin">
        <color theme="6" tint="-0.499984740745262"/>
      </right>
      <top style="double">
        <color theme="8" tint="-0.24994659260841701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double">
        <color theme="8" tint="-0.24994659260841701"/>
      </top>
      <bottom style="thin">
        <color theme="6" tint="-0.499984740745262"/>
      </bottom>
      <diagonal/>
    </border>
    <border>
      <left style="thin">
        <color theme="6" tint="-0.499984740745262"/>
      </left>
      <right style="double">
        <color theme="8" tint="-0.24994659260841701"/>
      </right>
      <top style="double">
        <color theme="8" tint="-0.24994659260841701"/>
      </top>
      <bottom style="thin">
        <color theme="6" tint="-0.499984740745262"/>
      </bottom>
      <diagonal/>
    </border>
    <border>
      <left style="double">
        <color theme="8" tint="-0.24994659260841701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double">
        <color theme="8" tint="-0.24994659260841701"/>
      </right>
      <top style="thin">
        <color theme="6" tint="-0.499984740745262"/>
      </top>
      <bottom style="thin">
        <color theme="6" tint="-0.499984740745262"/>
      </bottom>
      <diagonal/>
    </border>
    <border>
      <left style="double">
        <color theme="8" tint="-0.24994659260841701"/>
      </left>
      <right style="thin">
        <color theme="6" tint="-0.499984740745262"/>
      </right>
      <top style="thin">
        <color theme="6" tint="-0.499984740745262"/>
      </top>
      <bottom style="double">
        <color theme="8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double">
        <color theme="8" tint="-0.24994659260841701"/>
      </bottom>
      <diagonal/>
    </border>
    <border>
      <left style="thin">
        <color theme="6" tint="-0.499984740745262"/>
      </left>
      <right style="double">
        <color theme="8" tint="-0.24994659260841701"/>
      </right>
      <top style="thin">
        <color theme="6" tint="-0.499984740745262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thin">
        <color theme="2" tint="-0.499984740745262"/>
      </right>
      <top/>
      <bottom style="double">
        <color theme="8" tint="-0.2499465926084170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double">
        <color theme="8" tint="-0.24994659260841701"/>
      </bottom>
      <diagonal/>
    </border>
    <border>
      <left style="thin">
        <color theme="2" tint="-0.499984740745262"/>
      </left>
      <right style="double">
        <color theme="8" tint="-0.24994659260841701"/>
      </right>
      <top/>
      <bottom style="double">
        <color theme="8" tint="-0.24994659260841701"/>
      </bottom>
      <diagonal/>
    </border>
    <border>
      <left style="double">
        <color theme="8" tint="-0.24994659260841701"/>
      </left>
      <right/>
      <top style="double">
        <color theme="8" tint="-0.24994659260841701"/>
      </top>
      <bottom/>
      <diagonal/>
    </border>
    <border>
      <left/>
      <right style="thin">
        <color theme="2" tint="-0.499984740745262"/>
      </right>
      <top style="double">
        <color theme="8" tint="-0.24994659260841701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double">
        <color theme="8" tint="-0.24994659260841701"/>
      </top>
      <bottom style="thin">
        <color theme="2" tint="-0.499984740745262"/>
      </bottom>
      <diagonal/>
    </border>
    <border>
      <left style="thin">
        <color theme="2" tint="-0.499984740745262"/>
      </left>
      <right style="double">
        <color theme="8" tint="-0.24994659260841701"/>
      </right>
      <top style="double">
        <color theme="8" tint="-0.24994659260841701"/>
      </top>
      <bottom style="thin">
        <color theme="2" tint="-0.499984740745262"/>
      </bottom>
      <diagonal/>
    </border>
    <border>
      <left style="double">
        <color theme="8" tint="-0.24994659260841701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double">
        <color theme="8" tint="-0.24994659260841701"/>
      </right>
      <top style="thin">
        <color theme="2" tint="-0.499984740745262"/>
      </top>
      <bottom style="thin">
        <color theme="2" tint="-0.499984740745262"/>
      </bottom>
      <diagonal/>
    </border>
    <border>
      <left style="double">
        <color theme="8" tint="-0.24994659260841701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double">
        <color theme="8" tint="-0.24994659260841701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double">
        <color theme="8" tint="-0.24994659260841701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double">
        <color theme="8" tint="-0.24994659260841701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double">
        <color theme="8" tint="-0.24994659260841701"/>
      </right>
      <top/>
      <bottom style="thin">
        <color theme="2" tint="-0.499984740745262"/>
      </bottom>
      <diagonal/>
    </border>
    <border>
      <left style="double">
        <color theme="8" tint="-0.24994659260841701"/>
      </left>
      <right style="double">
        <color theme="8" tint="-0.24994659260841701"/>
      </right>
      <top style="double">
        <color theme="8" tint="-0.24994659260841701"/>
      </top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 style="double">
        <color theme="8" tint="-0.24994659260841701"/>
      </left>
      <right style="thin">
        <color theme="2" tint="-0.499984740745262"/>
      </right>
      <top style="thin">
        <color theme="2" tint="-0.499984740745262"/>
      </top>
      <bottom style="double">
        <color theme="8" tint="-0.24994659260841701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double">
        <color theme="8" tint="-0.2499465926084170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double">
        <color theme="8" tint="-0.24994659260841701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double">
        <color theme="8" tint="-0.24994659260841701"/>
      </bottom>
      <diagonal/>
    </border>
    <border>
      <left/>
      <right/>
      <top style="double">
        <color theme="8" tint="-0.24994659260841701"/>
      </top>
      <bottom/>
      <diagonal/>
    </border>
    <border>
      <left style="double">
        <color theme="8" tint="-0.24994659260841701"/>
      </left>
      <right style="thin">
        <color theme="6" tint="-0.24994659260841701"/>
      </right>
      <top style="double">
        <color theme="8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uble">
        <color theme="8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8" tint="-0.24994659260841701"/>
      </right>
      <top style="double">
        <color theme="8" tint="-0.24994659260841701"/>
      </top>
      <bottom style="thin">
        <color theme="6" tint="-0.24994659260841701"/>
      </bottom>
      <diagonal/>
    </border>
    <border>
      <left style="double">
        <color theme="8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8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double">
        <color theme="8" tint="-0.24994659260841701"/>
      </left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 style="double">
        <color theme="8" tint="-0.24994659260841701"/>
      </right>
      <top style="thin">
        <color theme="6" tint="-0.24994659260841701"/>
      </top>
      <bottom/>
      <diagonal/>
    </border>
    <border>
      <left style="double">
        <color theme="8" tint="-0.24994659260841701"/>
      </left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8" tint="-0.24994659260841701"/>
      </right>
      <top/>
      <bottom style="thin">
        <color theme="6" tint="-0.24994659260841701"/>
      </bottom>
      <diagonal/>
    </border>
    <border>
      <left style="double">
        <color theme="8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2" tint="-0.499984740745262"/>
      </left>
      <right style="thin">
        <color theme="2" tint="-0.499984740745262"/>
      </right>
      <top style="double">
        <color theme="8" tint="-0.24994659260841701"/>
      </top>
      <bottom/>
      <diagonal/>
    </border>
    <border>
      <left style="thin">
        <color theme="2" tint="-0.499984740745262"/>
      </left>
      <right style="double">
        <color theme="8" tint="-0.24994659260841701"/>
      </right>
      <top style="double">
        <color theme="8" tint="-0.24994659260841701"/>
      </top>
      <bottom/>
      <diagonal/>
    </border>
    <border>
      <left style="double">
        <color theme="8" tint="-0.24994659260841701"/>
      </left>
      <right/>
      <top style="thin">
        <color theme="6" tint="-0.24994659260841701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thin">
        <color theme="2" tint="-0.499984740745262"/>
      </right>
      <top style="double">
        <color theme="8" tint="-0.24994659260841701"/>
      </top>
      <bottom style="thin">
        <color theme="2" tint="-0.499984740745262"/>
      </bottom>
      <diagonal/>
    </border>
    <border>
      <left style="thin">
        <color theme="2" tint="-0.499984740745262"/>
      </left>
      <right style="double">
        <color theme="8" tint="-0.24994659260841701"/>
      </right>
      <top style="thin">
        <color theme="2" tint="-0.499984740745262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thin">
        <color theme="2" tint="-0.499984740745262"/>
      </right>
      <top style="double">
        <color theme="8" tint="-0.24994659260841701"/>
      </top>
      <bottom style="double">
        <color theme="8" tint="-0.24994659260841701"/>
      </bottom>
      <diagonal/>
    </border>
    <border>
      <left style="thin">
        <color theme="2" tint="-0.499984740745262"/>
      </left>
      <right style="thin">
        <color theme="2" tint="-0.499984740745262"/>
      </right>
      <top style="double">
        <color theme="8" tint="-0.24994659260841701"/>
      </top>
      <bottom style="double">
        <color theme="8" tint="-0.24994659260841701"/>
      </bottom>
      <diagonal/>
    </border>
    <border>
      <left style="thin">
        <color theme="2" tint="-0.499984740745262"/>
      </left>
      <right style="double">
        <color theme="8" tint="-0.24994659260841701"/>
      </right>
      <top style="double">
        <color theme="8" tint="-0.24994659260841701"/>
      </top>
      <bottom style="double">
        <color theme="8" tint="-0.24994659260841701"/>
      </bottom>
      <diagonal/>
    </border>
    <border>
      <left style="thin">
        <color theme="2" tint="-0.499984740745262"/>
      </left>
      <right style="double">
        <color theme="8" tint="-0.24994659260841701"/>
      </right>
      <top style="thin">
        <color theme="2" tint="-0.499984740745262"/>
      </top>
      <bottom/>
      <diagonal/>
    </border>
    <border>
      <left style="double">
        <color theme="8" tint="-0.24994659260841701"/>
      </left>
      <right/>
      <top style="thin">
        <color theme="2" tint="-0.499984740745262"/>
      </top>
      <bottom style="double">
        <color theme="8" tint="-0.24994659260841701"/>
      </bottom>
      <diagonal/>
    </border>
    <border>
      <left/>
      <right/>
      <top/>
      <bottom style="double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8" tint="-0.24994659260841701"/>
      </left>
      <right style="thin">
        <color indexed="64"/>
      </right>
      <top style="double">
        <color theme="8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theme="8" tint="-0.24994659260841701"/>
      </top>
      <bottom style="thin">
        <color indexed="64"/>
      </bottom>
      <diagonal/>
    </border>
    <border>
      <left style="thin">
        <color indexed="64"/>
      </left>
      <right style="double">
        <color theme="8" tint="-0.24994659260841701"/>
      </right>
      <top style="double">
        <color theme="8" tint="-0.24994659260841701"/>
      </top>
      <bottom style="thin">
        <color indexed="64"/>
      </bottom>
      <diagonal/>
    </border>
    <border>
      <left style="double">
        <color theme="8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theme="8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8" tint="-0.24994659260841701"/>
      </left>
      <right style="thin">
        <color indexed="64"/>
      </right>
      <top style="thin">
        <color indexed="64"/>
      </top>
      <bottom style="double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8" tint="-0.24994659260841701"/>
      </bottom>
      <diagonal/>
    </border>
    <border>
      <left style="thin">
        <color indexed="64"/>
      </left>
      <right style="double">
        <color theme="8" tint="-0.24994659260841701"/>
      </right>
      <top style="thin">
        <color indexed="64"/>
      </top>
      <bottom style="double">
        <color theme="8" tint="-0.24994659260841701"/>
      </bottom>
      <diagonal/>
    </border>
    <border>
      <left style="double">
        <color theme="8" tint="-0.24994659260841701"/>
      </left>
      <right/>
      <top style="double">
        <color theme="8" tint="-0.24994659260841701"/>
      </top>
      <bottom style="double">
        <color theme="8" tint="-0.24994659260841701"/>
      </bottom>
      <diagonal/>
    </border>
    <border>
      <left/>
      <right style="double">
        <color theme="8" tint="-0.24994659260841701"/>
      </right>
      <top style="double">
        <color theme="8" tint="-0.24994659260841701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 style="double">
        <color theme="8" tint="-0.24994659260841701"/>
      </right>
      <top/>
      <bottom/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double">
        <color theme="8" tint="-0.24994659260841701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double">
        <color theme="8" tint="-0.24994659260841701"/>
      </left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  <border>
      <left style="double">
        <color theme="8" tint="-0.24994659260841701"/>
      </left>
      <right style="thin">
        <color theme="6" tint="-0.499984740745262"/>
      </right>
      <top/>
      <bottom/>
      <diagonal/>
    </border>
    <border>
      <left style="thin">
        <color theme="6" tint="-0.499984740745262"/>
      </left>
      <right style="thin">
        <color theme="6" tint="-0.499984740745262"/>
      </right>
      <top/>
      <bottom/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/>
      <top/>
      <bottom/>
      <diagonal/>
    </border>
    <border>
      <left style="thin">
        <color theme="6" tint="-0.499984740745262"/>
      </left>
      <right style="double">
        <color theme="8" tint="-0.24994659260841701"/>
      </right>
      <top style="thin">
        <color theme="6" tint="-0.499984740745262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double">
        <color theme="8" tint="-0.24994659260841701"/>
      </right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6" tint="-0.499984740745262"/>
      </left>
      <right style="double">
        <color theme="8" tint="-0.24994659260841701"/>
      </right>
      <top/>
      <bottom/>
      <diagonal/>
    </border>
    <border>
      <left style="double">
        <color theme="8" tint="-0.24994659260841701"/>
      </left>
      <right style="double">
        <color theme="8" tint="-0.24994659260841701"/>
      </right>
      <top/>
      <bottom style="double">
        <color theme="8" tint="-0.24994659260841701"/>
      </bottom>
      <diagonal/>
    </border>
    <border>
      <left style="thin">
        <color theme="2" tint="-0.499984740745262"/>
      </left>
      <right/>
      <top style="thin">
        <color theme="6" tint="-0.499984740745262"/>
      </top>
      <bottom style="double">
        <color theme="8" tint="-0.24994659260841701"/>
      </bottom>
      <diagonal/>
    </border>
    <border>
      <left/>
      <right/>
      <top style="thin">
        <color theme="6" tint="-0.499984740745262"/>
      </top>
      <bottom style="double">
        <color theme="8" tint="-0.24994659260841701"/>
      </bottom>
      <diagonal/>
    </border>
    <border>
      <left/>
      <right style="double">
        <color theme="8" tint="-0.24994659260841701"/>
      </right>
      <top style="thin">
        <color theme="6" tint="-0.499984740745262"/>
      </top>
      <bottom style="double">
        <color theme="8" tint="-0.24994659260841701"/>
      </bottom>
      <diagonal/>
    </border>
    <border>
      <left style="double">
        <color theme="8" tint="-0.24994659260841701"/>
      </left>
      <right/>
      <top style="thin">
        <color theme="6" tint="-0.499984740745262"/>
      </top>
      <bottom/>
      <diagonal/>
    </border>
    <border>
      <left/>
      <right/>
      <top style="thin">
        <color theme="6" tint="-0.499984740745262"/>
      </top>
      <bottom/>
      <diagonal/>
    </border>
    <border>
      <left/>
      <right style="double">
        <color theme="8" tint="-0.24994659260841701"/>
      </right>
      <top style="thin">
        <color theme="6" tint="-0.499984740745262"/>
      </top>
      <bottom/>
      <diagonal/>
    </border>
    <border>
      <left style="double">
        <color theme="8" tint="-0.24994659260841701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double">
        <color theme="8" tint="-0.24994659260841701"/>
      </right>
      <top/>
      <bottom style="thin">
        <color theme="6" tint="-0.499984740745262"/>
      </bottom>
      <diagonal/>
    </border>
    <border>
      <left style="double">
        <color theme="8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double">
        <color theme="8" tint="-0.24994659260841701"/>
      </right>
      <top style="thin">
        <color theme="6" tint="-0.499984740745262"/>
      </top>
      <bottom style="thin">
        <color theme="6" tint="-0.499984740745262"/>
      </bottom>
      <diagonal/>
    </border>
    <border>
      <left style="double">
        <color theme="8" tint="-0.24994659260841701"/>
      </left>
      <right style="thin">
        <color theme="6" tint="-0.24994659260841701"/>
      </right>
      <top style="thin">
        <color theme="6" tint="-0.499984740745262"/>
      </top>
      <bottom style="thin">
        <color theme="6" tint="-0.499984740745262"/>
      </bottom>
      <diagonal/>
    </border>
    <border>
      <left style="double">
        <color theme="8" tint="-0.24994659260841701"/>
      </left>
      <right style="thin">
        <color theme="6" tint="-0.24994659260841701"/>
      </right>
      <top style="thin">
        <color theme="6" tint="-0.24994659260841701"/>
      </top>
      <bottom style="double">
        <color theme="8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double">
        <color theme="8" tint="-0.24994659260841701"/>
      </bottom>
      <diagonal/>
    </border>
    <border>
      <left style="thin">
        <color theme="6" tint="-0.24994659260841701"/>
      </left>
      <right style="double">
        <color theme="8" tint="-0.24994659260841701"/>
      </right>
      <top style="thin">
        <color theme="6" tint="-0.24994659260841701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thin">
        <color theme="6" tint="-0.24994659260841701"/>
      </right>
      <top/>
      <bottom style="double">
        <color theme="8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/>
      <bottom style="double">
        <color theme="8" tint="-0.24994659260841701"/>
      </bottom>
      <diagonal/>
    </border>
    <border>
      <left style="thin">
        <color theme="6" tint="-0.24994659260841701"/>
      </left>
      <right style="double">
        <color theme="8" tint="-0.24994659260841701"/>
      </right>
      <top/>
      <bottom style="double">
        <color theme="8" tint="-0.24994659260841701"/>
      </bottom>
      <diagonal/>
    </border>
    <border>
      <left style="double">
        <color theme="8" tint="-0.24994659260841701"/>
      </left>
      <right/>
      <top/>
      <bottom/>
      <diagonal/>
    </border>
    <border>
      <left/>
      <right style="double">
        <color theme="8" tint="-0.24994659260841701"/>
      </right>
      <top/>
      <bottom/>
      <diagonal/>
    </border>
    <border>
      <left style="thin">
        <color indexed="64"/>
      </left>
      <right style="thin">
        <color theme="6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6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8" tint="-0.24994659260841701"/>
      </left>
      <right/>
      <top style="thin">
        <color theme="6" tint="-0.24994659260841701"/>
      </top>
      <bottom/>
      <diagonal/>
    </border>
    <border>
      <left style="double">
        <color theme="8" tint="-0.24994659260841701"/>
      </left>
      <right/>
      <top/>
      <bottom style="thin">
        <color theme="6" tint="-0.24994659260841701"/>
      </bottom>
      <diagonal/>
    </border>
    <border>
      <left style="double">
        <color theme="8" tint="-0.24994659260841701"/>
      </left>
      <right style="double">
        <color theme="8" tint="-0.24994659260841701"/>
      </right>
      <top style="double">
        <color theme="8" tint="-0.24994659260841701"/>
      </top>
      <bottom style="thin">
        <color theme="6" tint="-0.24994659260841701"/>
      </bottom>
      <diagonal/>
    </border>
    <border>
      <left style="double">
        <color theme="8" tint="-0.24994659260841701"/>
      </left>
      <right style="double">
        <color theme="8" tint="-0.24994659260841701"/>
      </right>
      <top style="thin">
        <color theme="6" tint="-0.24994659260841701"/>
      </top>
      <bottom/>
      <diagonal/>
    </border>
    <border>
      <left style="double">
        <color theme="8" tint="-0.24994659260841701"/>
      </left>
      <right style="double">
        <color theme="8" tint="-0.24994659260841701"/>
      </right>
      <top/>
      <bottom style="thin">
        <color theme="6" tint="-0.24994659260841701"/>
      </bottom>
      <diagonal/>
    </border>
    <border>
      <left style="double">
        <color theme="8" tint="-0.24994659260841701"/>
      </left>
      <right style="double">
        <color theme="8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double">
        <color theme="8" tint="-0.24994659260841701"/>
      </left>
      <right style="double">
        <color theme="8" tint="-0.24994659260841701"/>
      </right>
      <top/>
      <bottom/>
      <diagonal/>
    </border>
    <border>
      <left/>
      <right/>
      <top style="double">
        <color theme="8" tint="-0.24994659260841701"/>
      </top>
      <bottom style="double">
        <color theme="8" tint="-0.24994659260841701"/>
      </bottom>
      <diagonal/>
    </border>
    <border>
      <left style="medium">
        <color indexed="64"/>
      </left>
      <right style="double">
        <color theme="8" tint="-0.24994659260841701"/>
      </right>
      <top style="medium">
        <color indexed="64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double">
        <color theme="8" tint="-0.24994659260841701"/>
      </right>
      <top style="medium">
        <color indexed="64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medium">
        <color indexed="64"/>
      </right>
      <top style="medium">
        <color indexed="64"/>
      </top>
      <bottom style="double">
        <color theme="8" tint="-0.24994659260841701"/>
      </bottom>
      <diagonal/>
    </border>
    <border>
      <left style="medium">
        <color indexed="64"/>
      </left>
      <right style="double">
        <color theme="8" tint="-0.24994659260841701"/>
      </right>
      <top style="double">
        <color theme="8" tint="-0.24994659260841701"/>
      </top>
      <bottom style="double">
        <color theme="8" tint="-0.24994659260841701"/>
      </bottom>
      <diagonal/>
    </border>
    <border>
      <left style="double">
        <color theme="8" tint="-0.24994659260841701"/>
      </left>
      <right style="medium">
        <color indexed="64"/>
      </right>
      <top style="double">
        <color theme="8" tint="-0.24994659260841701"/>
      </top>
      <bottom style="double">
        <color theme="8" tint="-0.24994659260841701"/>
      </bottom>
      <diagonal/>
    </border>
    <border>
      <left style="medium">
        <color indexed="64"/>
      </left>
      <right style="thin">
        <color theme="6" tint="-0.499984740745262"/>
      </right>
      <top style="double">
        <color theme="8" tint="-0.24994659260841701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indexed="64"/>
      </right>
      <top style="double">
        <color theme="8" tint="-0.24994659260841701"/>
      </top>
      <bottom style="thin">
        <color theme="6" tint="-0.499984740745262"/>
      </bottom>
      <diagonal/>
    </border>
    <border>
      <left style="medium">
        <color indexed="64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indexed="64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indexed="64"/>
      </right>
      <top style="thin">
        <color theme="6" tint="-0.499984740745262"/>
      </top>
      <bottom/>
      <diagonal/>
    </border>
    <border>
      <left style="medium">
        <color indexed="64"/>
      </left>
      <right style="thin">
        <color theme="2" tint="-0.499984740745262"/>
      </right>
      <top/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indexed="64"/>
      </bottom>
      <diagonal/>
    </border>
    <border>
      <left style="thin">
        <color theme="2" tint="-0.499984740745262"/>
      </left>
      <right/>
      <top style="thin">
        <color theme="6" tint="-0.499984740745262"/>
      </top>
      <bottom style="medium">
        <color indexed="64"/>
      </bottom>
      <diagonal/>
    </border>
    <border>
      <left/>
      <right/>
      <top style="thin">
        <color theme="6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6" tint="-0.499984740745262"/>
      </top>
      <bottom style="medium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double">
        <color theme="8" tint="-0.2499465926084170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4">
    <xf numFmtId="0" fontId="0" fillId="0" borderId="0" xfId="0"/>
    <xf numFmtId="0" fontId="4" fillId="0" borderId="0" xfId="0" applyFont="1"/>
    <xf numFmtId="0" fontId="3" fillId="0" borderId="0" xfId="0" applyFont="1"/>
    <xf numFmtId="0" fontId="6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0" borderId="46" xfId="0" applyFont="1" applyBorder="1"/>
    <xf numFmtId="164" fontId="5" fillId="0" borderId="47" xfId="0" applyNumberFormat="1" applyFont="1" applyBorder="1"/>
    <xf numFmtId="0" fontId="5" fillId="0" borderId="40" xfId="0" applyFont="1" applyBorder="1"/>
    <xf numFmtId="164" fontId="5" fillId="0" borderId="41" xfId="0" applyNumberFormat="1" applyFont="1" applyBorder="1"/>
    <xf numFmtId="164" fontId="5" fillId="0" borderId="44" xfId="0" applyNumberFormat="1" applyFont="1" applyBorder="1"/>
    <xf numFmtId="0" fontId="6" fillId="0" borderId="49" xfId="0" applyFont="1" applyBorder="1" applyAlignment="1">
      <alignment horizontal="left" vertical="center" wrapText="1"/>
    </xf>
    <xf numFmtId="0" fontId="5" fillId="0" borderId="40" xfId="0" applyFont="1" applyBorder="1" applyAlignment="1">
      <alignment horizontal="left" wrapText="1"/>
    </xf>
    <xf numFmtId="49" fontId="5" fillId="0" borderId="40" xfId="0" applyNumberFormat="1" applyFont="1" applyBorder="1"/>
    <xf numFmtId="0" fontId="5" fillId="0" borderId="40" xfId="0" applyFont="1" applyBorder="1" applyAlignment="1">
      <alignment wrapText="1"/>
    </xf>
    <xf numFmtId="0" fontId="6" fillId="0" borderId="49" xfId="0" applyFont="1" applyBorder="1"/>
    <xf numFmtId="0" fontId="6" fillId="0" borderId="52" xfId="0" applyFont="1" applyBorder="1"/>
    <xf numFmtId="0" fontId="8" fillId="0" borderId="0" xfId="0" applyFont="1"/>
    <xf numFmtId="0" fontId="7" fillId="0" borderId="0" xfId="0" applyFont="1"/>
    <xf numFmtId="0" fontId="8" fillId="5" borderId="53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vertical="center"/>
    </xf>
    <xf numFmtId="0" fontId="8" fillId="5" borderId="33" xfId="0" applyFont="1" applyFill="1" applyBorder="1" applyAlignment="1">
      <alignment horizontal="center" vertical="center" wrapText="1"/>
    </xf>
    <xf numFmtId="0" fontId="7" fillId="0" borderId="55" xfId="0" applyFont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5" borderId="57" xfId="0" applyFont="1" applyFill="1" applyBorder="1" applyAlignment="1">
      <alignment horizontal="center"/>
    </xf>
    <xf numFmtId="0" fontId="10" fillId="0" borderId="0" xfId="0" applyFont="1"/>
    <xf numFmtId="0" fontId="13" fillId="3" borderId="1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3" fillId="0" borderId="2" xfId="0" applyFont="1" applyBorder="1"/>
    <xf numFmtId="0" fontId="13" fillId="0" borderId="3" xfId="0" applyFont="1" applyBorder="1"/>
    <xf numFmtId="0" fontId="13" fillId="0" borderId="5" xfId="0" applyFont="1" applyBorder="1"/>
    <xf numFmtId="0" fontId="13" fillId="0" borderId="6" xfId="0" applyFont="1" applyBorder="1"/>
    <xf numFmtId="0" fontId="10" fillId="0" borderId="5" xfId="0" applyFont="1" applyBorder="1"/>
    <xf numFmtId="0" fontId="10" fillId="0" borderId="5" xfId="0" applyFont="1" applyBorder="1" applyAlignment="1">
      <alignment vertical="top" wrapText="1"/>
    </xf>
    <xf numFmtId="0" fontId="13" fillId="0" borderId="5" xfId="0" applyFont="1" applyBorder="1" applyAlignment="1">
      <alignment vertical="top" wrapText="1"/>
    </xf>
    <xf numFmtId="0" fontId="13" fillId="0" borderId="6" xfId="0" applyFont="1" applyBorder="1" applyAlignment="1">
      <alignment vertical="top"/>
    </xf>
    <xf numFmtId="0" fontId="14" fillId="0" borderId="5" xfId="0" applyFont="1" applyBorder="1"/>
    <xf numFmtId="0" fontId="10" fillId="0" borderId="5" xfId="0" applyFont="1" applyBorder="1" applyAlignment="1">
      <alignment horizontal="left"/>
    </xf>
    <xf numFmtId="0" fontId="13" fillId="0" borderId="5" xfId="0" applyFont="1" applyBorder="1" applyAlignment="1">
      <alignment horizontal="left"/>
    </xf>
    <xf numFmtId="0" fontId="15" fillId="2" borderId="11" xfId="0" applyFont="1" applyFill="1" applyBorder="1"/>
    <xf numFmtId="0" fontId="10" fillId="0" borderId="0" xfId="0" applyFont="1" applyAlignment="1">
      <alignment horizontal="left"/>
    </xf>
    <xf numFmtId="0" fontId="13" fillId="3" borderId="3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0" fillId="0" borderId="3" xfId="0" applyFont="1" applyBorder="1"/>
    <xf numFmtId="0" fontId="20" fillId="0" borderId="6" xfId="0" applyFont="1" applyBorder="1"/>
    <xf numFmtId="0" fontId="21" fillId="0" borderId="6" xfId="0" applyFont="1" applyBorder="1"/>
    <xf numFmtId="0" fontId="21" fillId="0" borderId="6" xfId="0" applyFont="1" applyBorder="1" applyAlignment="1">
      <alignment vertical="top" wrapText="1"/>
    </xf>
    <xf numFmtId="0" fontId="21" fillId="0" borderId="6" xfId="0" applyFont="1" applyBorder="1" applyAlignment="1">
      <alignment vertical="top"/>
    </xf>
    <xf numFmtId="0" fontId="22" fillId="0" borderId="6" xfId="0" applyFont="1" applyBorder="1"/>
    <xf numFmtId="0" fontId="22" fillId="0" borderId="5" xfId="0" applyFont="1" applyBorder="1"/>
    <xf numFmtId="0" fontId="21" fillId="0" borderId="5" xfId="0" applyFont="1" applyBorder="1"/>
    <xf numFmtId="0" fontId="10" fillId="0" borderId="6" xfId="0" applyFont="1" applyBorder="1"/>
    <xf numFmtId="0" fontId="21" fillId="0" borderId="5" xfId="0" applyFont="1" applyBorder="1" applyAlignment="1">
      <alignment vertical="top" wrapText="1"/>
    </xf>
    <xf numFmtId="0" fontId="20" fillId="0" borderId="5" xfId="0" applyFont="1" applyBorder="1"/>
    <xf numFmtId="164" fontId="13" fillId="0" borderId="6" xfId="0" applyNumberFormat="1" applyFont="1" applyBorder="1"/>
    <xf numFmtId="164" fontId="13" fillId="0" borderId="7" xfId="0" applyNumberFormat="1" applyFont="1" applyBorder="1"/>
    <xf numFmtId="0" fontId="24" fillId="0" borderId="0" xfId="0" applyFont="1"/>
    <xf numFmtId="0" fontId="24" fillId="0" borderId="0" xfId="0" applyFont="1" applyAlignment="1">
      <alignment vertical="center"/>
    </xf>
    <xf numFmtId="0" fontId="25" fillId="0" borderId="0" xfId="0" applyFont="1"/>
    <xf numFmtId="0" fontId="24" fillId="4" borderId="20" xfId="0" applyFont="1" applyFill="1" applyBorder="1" applyAlignment="1">
      <alignment vertical="center"/>
    </xf>
    <xf numFmtId="0" fontId="24" fillId="4" borderId="21" xfId="0" applyFont="1" applyFill="1" applyBorder="1" applyAlignment="1">
      <alignment vertical="center"/>
    </xf>
    <xf numFmtId="0" fontId="12" fillId="4" borderId="20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12" fillId="0" borderId="24" xfId="0" applyFont="1" applyBorder="1"/>
    <xf numFmtId="0" fontId="24" fillId="0" borderId="24" xfId="0" applyFont="1" applyBorder="1"/>
    <xf numFmtId="0" fontId="24" fillId="0" borderId="25" xfId="0" applyFont="1" applyBorder="1"/>
    <xf numFmtId="0" fontId="24" fillId="0" borderId="1" xfId="0" applyFont="1" applyBorder="1"/>
    <xf numFmtId="0" fontId="12" fillId="0" borderId="27" xfId="0" applyFont="1" applyBorder="1"/>
    <xf numFmtId="0" fontId="24" fillId="0" borderId="30" xfId="0" applyFont="1" applyBorder="1"/>
    <xf numFmtId="0" fontId="12" fillId="0" borderId="1" xfId="0" applyFont="1" applyBorder="1"/>
    <xf numFmtId="0" fontId="12" fillId="0" borderId="32" xfId="0" applyFont="1" applyBorder="1"/>
    <xf numFmtId="0" fontId="25" fillId="0" borderId="20" xfId="0" applyFont="1" applyBorder="1" applyAlignment="1">
      <alignment vertical="center"/>
    </xf>
    <xf numFmtId="0" fontId="26" fillId="0" borderId="20" xfId="0" applyFont="1" applyBorder="1" applyAlignment="1">
      <alignment vertical="center"/>
    </xf>
    <xf numFmtId="164" fontId="26" fillId="0" borderId="20" xfId="0" applyNumberFormat="1" applyFont="1" applyBorder="1"/>
    <xf numFmtId="0" fontId="26" fillId="0" borderId="26" xfId="0" applyFont="1" applyBorder="1" applyAlignment="1">
      <alignment vertical="center"/>
    </xf>
    <xf numFmtId="164" fontId="26" fillId="0" borderId="26" xfId="0" applyNumberFormat="1" applyFont="1" applyBorder="1"/>
    <xf numFmtId="0" fontId="25" fillId="0" borderId="1" xfId="0" applyFont="1" applyBorder="1" applyAlignment="1">
      <alignment vertical="center"/>
    </xf>
    <xf numFmtId="0" fontId="25" fillId="0" borderId="28" xfId="0" applyFont="1" applyBorder="1" applyAlignment="1">
      <alignment vertical="center"/>
    </xf>
    <xf numFmtId="164" fontId="26" fillId="0" borderId="28" xfId="0" applyNumberFormat="1" applyFont="1" applyBorder="1"/>
    <xf numFmtId="0" fontId="25" fillId="0" borderId="30" xfId="0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0" fontId="26" fillId="0" borderId="28" xfId="0" applyFont="1" applyBorder="1" applyAlignment="1">
      <alignment vertical="center"/>
    </xf>
    <xf numFmtId="164" fontId="26" fillId="0" borderId="31" xfId="0" applyNumberFormat="1" applyFont="1" applyBorder="1"/>
    <xf numFmtId="164" fontId="26" fillId="0" borderId="19" xfId="0" applyNumberFormat="1" applyFont="1" applyBorder="1"/>
    <xf numFmtId="0" fontId="26" fillId="0" borderId="33" xfId="0" applyFont="1" applyBorder="1" applyAlignment="1">
      <alignment vertical="center"/>
    </xf>
    <xf numFmtId="164" fontId="26" fillId="0" borderId="33" xfId="0" applyNumberFormat="1" applyFont="1" applyBorder="1"/>
    <xf numFmtId="164" fontId="26" fillId="0" borderId="34" xfId="0" applyNumberFormat="1" applyFont="1" applyBorder="1"/>
    <xf numFmtId="164" fontId="26" fillId="0" borderId="35" xfId="0" applyNumberFormat="1" applyFont="1" applyBorder="1"/>
    <xf numFmtId="0" fontId="28" fillId="0" borderId="0" xfId="0" applyFont="1"/>
    <xf numFmtId="165" fontId="10" fillId="0" borderId="0" xfId="0" applyNumberFormat="1" applyFont="1" applyAlignment="1">
      <alignment horizontal="left"/>
    </xf>
    <xf numFmtId="165" fontId="8" fillId="0" borderId="0" xfId="0" applyNumberFormat="1" applyFont="1" applyAlignment="1">
      <alignment horizontal="left"/>
    </xf>
    <xf numFmtId="0" fontId="29" fillId="0" borderId="0" xfId="0" applyFont="1" applyAlignment="1">
      <alignment vertical="center"/>
    </xf>
    <xf numFmtId="165" fontId="10" fillId="0" borderId="64" xfId="0" applyNumberFormat="1" applyFont="1" applyBorder="1" applyAlignment="1" applyProtection="1">
      <alignment horizontal="left"/>
      <protection locked="0"/>
    </xf>
    <xf numFmtId="0" fontId="10" fillId="0" borderId="66" xfId="0" applyFont="1" applyBorder="1" applyProtection="1">
      <protection locked="0"/>
    </xf>
    <xf numFmtId="0" fontId="15" fillId="6" borderId="62" xfId="0" applyFont="1" applyFill="1" applyBorder="1"/>
    <xf numFmtId="0" fontId="15" fillId="6" borderId="63" xfId="0" applyFont="1" applyFill="1" applyBorder="1"/>
    <xf numFmtId="0" fontId="15" fillId="6" borderId="65" xfId="0" applyFont="1" applyFill="1" applyBorder="1"/>
    <xf numFmtId="0" fontId="15" fillId="6" borderId="61" xfId="0" applyFont="1" applyFill="1" applyBorder="1"/>
    <xf numFmtId="0" fontId="15" fillId="6" borderId="67" xfId="0" applyFont="1" applyFill="1" applyBorder="1"/>
    <xf numFmtId="0" fontId="15" fillId="6" borderId="68" xfId="0" applyFont="1" applyFill="1" applyBorder="1"/>
    <xf numFmtId="164" fontId="26" fillId="0" borderId="21" xfId="0" applyNumberFormat="1" applyFont="1" applyBorder="1"/>
    <xf numFmtId="0" fontId="0" fillId="0" borderId="61" xfId="0" applyBorder="1" applyAlignment="1">
      <alignment horizontal="center"/>
    </xf>
    <xf numFmtId="0" fontId="0" fillId="0" borderId="62" xfId="0" applyBorder="1"/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5" xfId="0" applyBorder="1"/>
    <xf numFmtId="0" fontId="0" fillId="0" borderId="66" xfId="0" applyBorder="1" applyAlignment="1">
      <alignment horizontal="center"/>
    </xf>
    <xf numFmtId="0" fontId="0" fillId="0" borderId="67" xfId="0" applyBorder="1"/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164" fontId="13" fillId="0" borderId="3" xfId="0" applyNumberFormat="1" applyFont="1" applyBorder="1"/>
    <xf numFmtId="164" fontId="13" fillId="0" borderId="4" xfId="0" applyNumberFormat="1" applyFont="1" applyBorder="1"/>
    <xf numFmtId="164" fontId="25" fillId="4" borderId="20" xfId="0" applyNumberFormat="1" applyFont="1" applyFill="1" applyBorder="1"/>
    <xf numFmtId="164" fontId="25" fillId="4" borderId="1" xfId="0" applyNumberFormat="1" applyFont="1" applyFill="1" applyBorder="1"/>
    <xf numFmtId="164" fontId="25" fillId="4" borderId="30" xfId="0" applyNumberFormat="1" applyFont="1" applyFill="1" applyBorder="1"/>
    <xf numFmtId="164" fontId="25" fillId="4" borderId="21" xfId="0" applyNumberFormat="1" applyFont="1" applyFill="1" applyBorder="1"/>
    <xf numFmtId="164" fontId="25" fillId="4" borderId="29" xfId="0" applyNumberFormat="1" applyFont="1" applyFill="1" applyBorder="1"/>
    <xf numFmtId="164" fontId="25" fillId="0" borderId="1" xfId="0" applyNumberFormat="1" applyFont="1" applyBorder="1"/>
    <xf numFmtId="164" fontId="6" fillId="4" borderId="1" xfId="0" applyNumberFormat="1" applyFont="1" applyFill="1" applyBorder="1"/>
    <xf numFmtId="164" fontId="6" fillId="4" borderId="48" xfId="0" applyNumberFormat="1" applyFont="1" applyFill="1" applyBorder="1"/>
    <xf numFmtId="164" fontId="6" fillId="4" borderId="42" xfId="0" applyNumberFormat="1" applyFont="1" applyFill="1" applyBorder="1"/>
    <xf numFmtId="164" fontId="6" fillId="4" borderId="45" xfId="0" applyNumberFormat="1" applyFont="1" applyFill="1" applyBorder="1"/>
    <xf numFmtId="0" fontId="13" fillId="3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center" wrapText="1"/>
    </xf>
    <xf numFmtId="165" fontId="10" fillId="0" borderId="0" xfId="0" applyNumberFormat="1" applyFont="1" applyAlignment="1">
      <alignment horizontal="left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0" borderId="40" xfId="0" applyFont="1" applyBorder="1" applyAlignment="1">
      <alignment horizontal="left" vertical="top" wrapText="1"/>
    </xf>
    <xf numFmtId="0" fontId="10" fillId="0" borderId="40" xfId="0" applyFont="1" applyBorder="1" applyAlignment="1">
      <alignment vertical="top" wrapText="1"/>
    </xf>
    <xf numFmtId="0" fontId="13" fillId="3" borderId="1" xfId="0" applyFont="1" applyFill="1" applyBorder="1" applyAlignment="1">
      <alignment vertical="top" wrapText="1"/>
    </xf>
    <xf numFmtId="0" fontId="10" fillId="0" borderId="46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4" fillId="0" borderId="40" xfId="0" applyFont="1" applyBorder="1" applyAlignment="1">
      <alignment vertical="top" wrapText="1"/>
    </xf>
    <xf numFmtId="0" fontId="13" fillId="0" borderId="37" xfId="0" applyFont="1" applyBorder="1" applyAlignment="1">
      <alignment vertical="top" wrapText="1"/>
    </xf>
    <xf numFmtId="0" fontId="10" fillId="0" borderId="43" xfId="0" applyFont="1" applyBorder="1" applyAlignment="1">
      <alignment vertical="top" wrapText="1"/>
    </xf>
    <xf numFmtId="0" fontId="13" fillId="0" borderId="72" xfId="0" applyFont="1" applyBorder="1" applyAlignment="1">
      <alignment vertical="top" wrapText="1"/>
    </xf>
    <xf numFmtId="0" fontId="15" fillId="2" borderId="1" xfId="0" applyFont="1" applyFill="1" applyBorder="1" applyAlignment="1">
      <alignment vertical="top" wrapText="1"/>
    </xf>
    <xf numFmtId="0" fontId="13" fillId="0" borderId="5" xfId="0" applyFont="1" applyBorder="1" applyAlignment="1">
      <alignment wrapText="1"/>
    </xf>
    <xf numFmtId="0" fontId="13" fillId="0" borderId="8" xfId="0" applyFont="1" applyBorder="1" applyAlignment="1">
      <alignment vertical="top"/>
    </xf>
    <xf numFmtId="0" fontId="20" fillId="0" borderId="8" xfId="0" applyFont="1" applyBorder="1"/>
    <xf numFmtId="0" fontId="32" fillId="0" borderId="27" xfId="0" applyFont="1" applyBorder="1"/>
    <xf numFmtId="164" fontId="33" fillId="0" borderId="28" xfId="0" applyNumberFormat="1" applyFont="1" applyBorder="1"/>
    <xf numFmtId="0" fontId="33" fillId="0" borderId="24" xfId="0" applyFont="1" applyBorder="1"/>
    <xf numFmtId="164" fontId="33" fillId="0" borderId="20" xfId="0" applyNumberFormat="1" applyFont="1" applyBorder="1"/>
    <xf numFmtId="0" fontId="33" fillId="0" borderId="24" xfId="0" applyFont="1" applyBorder="1" applyAlignment="1">
      <alignment vertical="center" wrapText="1"/>
    </xf>
    <xf numFmtId="164" fontId="33" fillId="0" borderId="26" xfId="0" applyNumberFormat="1" applyFont="1" applyBorder="1"/>
    <xf numFmtId="0" fontId="32" fillId="0" borderId="22" xfId="0" applyFont="1" applyBorder="1"/>
    <xf numFmtId="0" fontId="32" fillId="0" borderId="24" xfId="0" applyFont="1" applyBorder="1"/>
    <xf numFmtId="164" fontId="33" fillId="0" borderId="16" xfId="0" applyNumberFormat="1" applyFont="1" applyBorder="1"/>
    <xf numFmtId="164" fontId="33" fillId="0" borderId="33" xfId="0" applyNumberFormat="1" applyFont="1" applyBorder="1"/>
    <xf numFmtId="0" fontId="32" fillId="0" borderId="59" xfId="0" applyFont="1" applyBorder="1"/>
    <xf numFmtId="0" fontId="21" fillId="0" borderId="75" xfId="0" applyFont="1" applyBorder="1"/>
    <xf numFmtId="0" fontId="22" fillId="0" borderId="75" xfId="0" applyFont="1" applyBorder="1"/>
    <xf numFmtId="0" fontId="10" fillId="0" borderId="76" xfId="0" applyFont="1" applyBorder="1" applyAlignment="1">
      <alignment vertical="top" wrapText="1"/>
    </xf>
    <xf numFmtId="0" fontId="10" fillId="0" borderId="76" xfId="0" applyFont="1" applyBorder="1" applyAlignment="1">
      <alignment horizontal="left"/>
    </xf>
    <xf numFmtId="0" fontId="14" fillId="0" borderId="76" xfId="0" applyFont="1" applyBorder="1"/>
    <xf numFmtId="0" fontId="21" fillId="0" borderId="76" xfId="0" applyFont="1" applyBorder="1"/>
    <xf numFmtId="0" fontId="10" fillId="0" borderId="76" xfId="0" applyFont="1" applyBorder="1"/>
    <xf numFmtId="0" fontId="13" fillId="0" borderId="78" xfId="0" applyFont="1" applyBorder="1" applyAlignment="1">
      <alignment vertical="top" wrapText="1"/>
    </xf>
    <xf numFmtId="0" fontId="13" fillId="0" borderId="78" xfId="0" applyFont="1" applyBorder="1"/>
    <xf numFmtId="0" fontId="13" fillId="0" borderId="80" xfId="0" applyFont="1" applyBorder="1" applyAlignment="1">
      <alignment horizontal="left"/>
    </xf>
    <xf numFmtId="0" fontId="13" fillId="0" borderId="78" xfId="0" applyFont="1" applyBorder="1" applyAlignment="1">
      <alignment horizontal="left"/>
    </xf>
    <xf numFmtId="0" fontId="23" fillId="0" borderId="78" xfId="0" applyFont="1" applyBorder="1" applyAlignment="1">
      <alignment horizontal="left" vertical="center"/>
    </xf>
    <xf numFmtId="0" fontId="20" fillId="0" borderId="78" xfId="0" applyFont="1" applyBorder="1"/>
    <xf numFmtId="0" fontId="21" fillId="0" borderId="78" xfId="0" applyFont="1" applyBorder="1"/>
    <xf numFmtId="0" fontId="13" fillId="0" borderId="80" xfId="0" applyFont="1" applyBorder="1"/>
    <xf numFmtId="0" fontId="10" fillId="0" borderId="78" xfId="0" applyFont="1" applyBorder="1"/>
    <xf numFmtId="0" fontId="13" fillId="3" borderId="1" xfId="0" applyFont="1" applyFill="1" applyBorder="1"/>
    <xf numFmtId="0" fontId="20" fillId="3" borderId="1" xfId="0" applyFont="1" applyFill="1" applyBorder="1" applyAlignment="1">
      <alignment horizontal="left"/>
    </xf>
    <xf numFmtId="0" fontId="20" fillId="3" borderId="1" xfId="0" applyFont="1" applyFill="1" applyBorder="1"/>
    <xf numFmtId="0" fontId="34" fillId="6" borderId="1" xfId="0" applyFont="1" applyFill="1" applyBorder="1"/>
    <xf numFmtId="0" fontId="21" fillId="0" borderId="82" xfId="0" applyFont="1" applyBorder="1" applyAlignment="1">
      <alignment wrapText="1"/>
    </xf>
    <xf numFmtId="0" fontId="21" fillId="0" borderId="82" xfId="0" applyFont="1" applyBorder="1"/>
    <xf numFmtId="0" fontId="21" fillId="0" borderId="84" xfId="0" applyFont="1" applyBorder="1"/>
    <xf numFmtId="0" fontId="21" fillId="0" borderId="77" xfId="0" applyFont="1" applyBorder="1" applyAlignment="1">
      <alignment vertical="top"/>
    </xf>
    <xf numFmtId="0" fontId="22" fillId="0" borderId="77" xfId="0" applyFont="1" applyBorder="1"/>
    <xf numFmtId="0" fontId="22" fillId="0" borderId="87" xfId="0" applyFont="1" applyBorder="1"/>
    <xf numFmtId="0" fontId="21" fillId="0" borderId="77" xfId="0" applyFont="1" applyBorder="1"/>
    <xf numFmtId="0" fontId="20" fillId="0" borderId="79" xfId="0" applyFont="1" applyBorder="1" applyAlignment="1">
      <alignment vertical="top"/>
    </xf>
    <xf numFmtId="0" fontId="20" fillId="0" borderId="89" xfId="0" applyFont="1" applyBorder="1"/>
    <xf numFmtId="0" fontId="13" fillId="0" borderId="79" xfId="0" applyFont="1" applyBorder="1"/>
    <xf numFmtId="0" fontId="21" fillId="0" borderId="89" xfId="0" applyFont="1" applyBorder="1"/>
    <xf numFmtId="0" fontId="20" fillId="3" borderId="91" xfId="0" applyFont="1" applyFill="1" applyBorder="1" applyAlignment="1">
      <alignment horizontal="left" vertical="top"/>
    </xf>
    <xf numFmtId="0" fontId="10" fillId="3" borderId="1" xfId="0" applyFont="1" applyFill="1" applyBorder="1" applyAlignment="1">
      <alignment vertical="top" wrapText="1"/>
    </xf>
    <xf numFmtId="0" fontId="10" fillId="3" borderId="1" xfId="0" applyFont="1" applyFill="1" applyBorder="1" applyAlignment="1">
      <alignment horizontal="left" vertical="top" wrapText="1"/>
    </xf>
    <xf numFmtId="0" fontId="20" fillId="0" borderId="6" xfId="0" applyFont="1" applyBorder="1" applyAlignment="1">
      <alignment horizontal="left"/>
    </xf>
    <xf numFmtId="164" fontId="20" fillId="0" borderId="6" xfId="0" applyNumberFormat="1" applyFont="1" applyBorder="1"/>
    <xf numFmtId="164" fontId="20" fillId="0" borderId="7" xfId="0" applyNumberFormat="1" applyFont="1" applyBorder="1"/>
    <xf numFmtId="0" fontId="15" fillId="6" borderId="92" xfId="0" applyFont="1" applyFill="1" applyBorder="1"/>
    <xf numFmtId="164" fontId="13" fillId="3" borderId="1" xfId="0" applyNumberFormat="1" applyFont="1" applyFill="1" applyBorder="1" applyAlignment="1">
      <alignment horizontal="center" vertical="center" wrapText="1"/>
    </xf>
    <xf numFmtId="164" fontId="13" fillId="3" borderId="30" xfId="0" applyNumberFormat="1" applyFont="1" applyFill="1" applyBorder="1" applyAlignment="1">
      <alignment horizontal="center" vertical="center" wrapText="1"/>
    </xf>
    <xf numFmtId="164" fontId="15" fillId="2" borderId="1" xfId="0" applyNumberFormat="1" applyFont="1" applyFill="1" applyBorder="1" applyAlignment="1">
      <alignment horizontal="center" vertical="center" wrapText="1"/>
    </xf>
    <xf numFmtId="164" fontId="10" fillId="0" borderId="3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3" fillId="0" borderId="6" xfId="0" applyNumberFormat="1" applyFont="1" applyBorder="1" applyAlignment="1">
      <alignment horizontal="center" vertical="center"/>
    </xf>
    <xf numFmtId="164" fontId="13" fillId="0" borderId="7" xfId="0" applyNumberFormat="1" applyFont="1" applyBorder="1" applyAlignment="1">
      <alignment horizontal="center" vertical="center"/>
    </xf>
    <xf numFmtId="164" fontId="10" fillId="0" borderId="6" xfId="0" applyNumberFormat="1" applyFont="1" applyBorder="1" applyAlignment="1">
      <alignment horizontal="center" vertical="center"/>
    </xf>
    <xf numFmtId="164" fontId="10" fillId="0" borderId="7" xfId="0" applyNumberFormat="1" applyFont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left" vertical="top" wrapText="1"/>
    </xf>
    <xf numFmtId="0" fontId="13" fillId="0" borderId="5" xfId="0" applyFont="1" applyBorder="1" applyAlignment="1">
      <alignment vertical="center" wrapText="1"/>
    </xf>
    <xf numFmtId="0" fontId="13" fillId="0" borderId="5" xfId="0" applyFont="1" applyBorder="1" applyAlignment="1">
      <alignment vertical="center"/>
    </xf>
    <xf numFmtId="164" fontId="20" fillId="0" borderId="6" xfId="0" applyNumberFormat="1" applyFont="1" applyBorder="1" applyAlignment="1">
      <alignment horizontal="center" vertical="center"/>
    </xf>
    <xf numFmtId="164" fontId="20" fillId="0" borderId="7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wrapText="1"/>
    </xf>
    <xf numFmtId="0" fontId="18" fillId="0" borderId="95" xfId="0" applyFont="1" applyBorder="1" applyAlignment="1">
      <alignment vertical="top" wrapText="1"/>
    </xf>
    <xf numFmtId="164" fontId="18" fillId="0" borderId="96" xfId="0" applyNumberFormat="1" applyFont="1" applyBorder="1" applyAlignment="1">
      <alignment horizontal="center" vertical="center"/>
    </xf>
    <xf numFmtId="164" fontId="18" fillId="0" borderId="97" xfId="0" applyNumberFormat="1" applyFont="1" applyBorder="1" applyAlignment="1">
      <alignment horizontal="center" vertical="center"/>
    </xf>
    <xf numFmtId="0" fontId="17" fillId="0" borderId="98" xfId="0" applyFont="1" applyBorder="1"/>
    <xf numFmtId="164" fontId="17" fillId="0" borderId="99" xfId="0" applyNumberFormat="1" applyFont="1" applyBorder="1" applyAlignment="1">
      <alignment horizontal="center" vertical="center"/>
    </xf>
    <xf numFmtId="164" fontId="17" fillId="0" borderId="100" xfId="0" applyNumberFormat="1" applyFont="1" applyBorder="1" applyAlignment="1">
      <alignment horizontal="center" vertical="center"/>
    </xf>
    <xf numFmtId="0" fontId="18" fillId="0" borderId="101" xfId="0" applyFont="1" applyBorder="1" applyAlignment="1">
      <alignment wrapText="1"/>
    </xf>
    <xf numFmtId="164" fontId="18" fillId="0" borderId="84" xfId="0" applyNumberFormat="1" applyFont="1" applyBorder="1" applyAlignment="1">
      <alignment horizontal="center" vertical="center"/>
    </xf>
    <xf numFmtId="164" fontId="18" fillId="0" borderId="102" xfId="0" applyNumberFormat="1" applyFont="1" applyBorder="1" applyAlignment="1">
      <alignment horizontal="center" vertical="center"/>
    </xf>
    <xf numFmtId="0" fontId="15" fillId="2" borderId="55" xfId="0" applyFont="1" applyFill="1" applyBorder="1"/>
    <xf numFmtId="164" fontId="15" fillId="2" borderId="56" xfId="0" applyNumberFormat="1" applyFont="1" applyFill="1" applyBorder="1" applyAlignment="1">
      <alignment horizontal="center" vertical="center"/>
    </xf>
    <xf numFmtId="164" fontId="15" fillId="2" borderId="57" xfId="0" applyNumberFormat="1" applyFont="1" applyFill="1" applyBorder="1" applyAlignment="1">
      <alignment horizontal="center" vertical="center"/>
    </xf>
    <xf numFmtId="0" fontId="15" fillId="2" borderId="55" xfId="0" applyFont="1" applyFill="1" applyBorder="1" applyAlignment="1">
      <alignment wrapText="1"/>
    </xf>
    <xf numFmtId="0" fontId="20" fillId="0" borderId="5" xfId="0" applyFont="1" applyBorder="1" applyAlignment="1">
      <alignment horizontal="left"/>
    </xf>
    <xf numFmtId="0" fontId="22" fillId="0" borderId="103" xfId="0" applyFont="1" applyBorder="1"/>
    <xf numFmtId="0" fontId="14" fillId="0" borderId="6" xfId="0" applyFont="1" applyBorder="1"/>
    <xf numFmtId="164" fontId="13" fillId="0" borderId="3" xfId="0" applyNumberFormat="1" applyFont="1" applyBorder="1" applyAlignment="1">
      <alignment horizontal="center" vertical="center"/>
    </xf>
    <xf numFmtId="164" fontId="10" fillId="0" borderId="77" xfId="0" applyNumberFormat="1" applyFont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164" fontId="10" fillId="0" borderId="79" xfId="0" applyNumberFormat="1" applyFont="1" applyBorder="1" applyAlignment="1">
      <alignment horizontal="center" vertical="center"/>
    </xf>
    <xf numFmtId="164" fontId="10" fillId="0" borderId="82" xfId="0" applyNumberFormat="1" applyFont="1" applyBorder="1" applyAlignment="1">
      <alignment horizontal="center" vertical="center"/>
    </xf>
    <xf numFmtId="164" fontId="10" fillId="0" borderId="83" xfId="0" applyNumberFormat="1" applyFont="1" applyBorder="1" applyAlignment="1">
      <alignment horizontal="center" vertical="center"/>
    </xf>
    <xf numFmtId="164" fontId="13" fillId="0" borderId="81" xfId="0" applyNumberFormat="1" applyFont="1" applyBorder="1" applyAlignment="1">
      <alignment horizontal="center" vertical="center"/>
    </xf>
    <xf numFmtId="164" fontId="10" fillId="0" borderId="81" xfId="0" applyNumberFormat="1" applyFont="1" applyBorder="1" applyAlignment="1">
      <alignment horizontal="center" vertical="center"/>
    </xf>
    <xf numFmtId="164" fontId="10" fillId="0" borderId="85" xfId="0" applyNumberFormat="1" applyFont="1" applyBorder="1" applyAlignment="1">
      <alignment horizontal="center" vertical="center"/>
    </xf>
    <xf numFmtId="164" fontId="34" fillId="6" borderId="1" xfId="0" applyNumberFormat="1" applyFont="1" applyFill="1" applyBorder="1" applyAlignment="1">
      <alignment horizontal="center" vertical="center"/>
    </xf>
    <xf numFmtId="164" fontId="34" fillId="6" borderId="70" xfId="0" applyNumberFormat="1" applyFont="1" applyFill="1" applyBorder="1" applyAlignment="1">
      <alignment horizontal="center" vertical="center"/>
    </xf>
    <xf numFmtId="164" fontId="10" fillId="0" borderId="86" xfId="0" applyNumberFormat="1" applyFont="1" applyBorder="1" applyAlignment="1">
      <alignment horizontal="center" vertical="center"/>
    </xf>
    <xf numFmtId="164" fontId="10" fillId="0" borderId="88" xfId="0" applyNumberFormat="1" applyFont="1" applyBorder="1" applyAlignment="1">
      <alignment horizontal="center" vertical="center"/>
    </xf>
    <xf numFmtId="164" fontId="13" fillId="3" borderId="91" xfId="0" applyNumberFormat="1" applyFont="1" applyFill="1" applyBorder="1" applyAlignment="1">
      <alignment horizontal="center" vertical="center"/>
    </xf>
    <xf numFmtId="164" fontId="10" fillId="0" borderId="90" xfId="0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164" fontId="13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35" fillId="0" borderId="0" xfId="0" applyFont="1" applyAlignment="1">
      <alignment horizontal="right"/>
    </xf>
    <xf numFmtId="164" fontId="36" fillId="5" borderId="28" xfId="0" applyNumberFormat="1" applyFont="1" applyFill="1" applyBorder="1"/>
    <xf numFmtId="164" fontId="36" fillId="5" borderId="20" xfId="0" applyNumberFormat="1" applyFont="1" applyFill="1" applyBorder="1"/>
    <xf numFmtId="164" fontId="36" fillId="5" borderId="26" xfId="0" applyNumberFormat="1" applyFont="1" applyFill="1" applyBorder="1"/>
    <xf numFmtId="164" fontId="36" fillId="5" borderId="56" xfId="0" applyNumberFormat="1" applyFont="1" applyFill="1" applyBorder="1"/>
    <xf numFmtId="164" fontId="36" fillId="5" borderId="55" xfId="0" applyNumberFormat="1" applyFont="1" applyFill="1" applyBorder="1"/>
    <xf numFmtId="164" fontId="36" fillId="5" borderId="16" xfId="0" applyNumberFormat="1" applyFont="1" applyFill="1" applyBorder="1"/>
    <xf numFmtId="164" fontId="36" fillId="5" borderId="33" xfId="0" applyNumberFormat="1" applyFont="1" applyFill="1" applyBorder="1"/>
    <xf numFmtId="164" fontId="36" fillId="5" borderId="29" xfId="0" applyNumberFormat="1" applyFont="1" applyFill="1" applyBorder="1"/>
    <xf numFmtId="164" fontId="36" fillId="5" borderId="21" xfId="0" applyNumberFormat="1" applyFont="1" applyFill="1" applyBorder="1"/>
    <xf numFmtId="164" fontId="36" fillId="5" borderId="57" xfId="0" applyNumberFormat="1" applyFont="1" applyFill="1" applyBorder="1"/>
    <xf numFmtId="164" fontId="36" fillId="5" borderId="58" xfId="0" applyNumberFormat="1" applyFont="1" applyFill="1" applyBorder="1"/>
    <xf numFmtId="164" fontId="36" fillId="5" borderId="1" xfId="0" applyNumberFormat="1" applyFont="1" applyFill="1" applyBorder="1"/>
    <xf numFmtId="164" fontId="36" fillId="5" borderId="17" xfId="0" applyNumberFormat="1" applyFont="1" applyFill="1" applyBorder="1"/>
    <xf numFmtId="164" fontId="36" fillId="5" borderId="54" xfId="0" applyNumberFormat="1" applyFont="1" applyFill="1" applyBorder="1"/>
    <xf numFmtId="0" fontId="17" fillId="0" borderId="6" xfId="0" applyFont="1" applyBorder="1"/>
    <xf numFmtId="0" fontId="18" fillId="0" borderId="6" xfId="0" applyFont="1" applyBorder="1"/>
    <xf numFmtId="0" fontId="18" fillId="0" borderId="7" xfId="0" applyFont="1" applyBorder="1"/>
    <xf numFmtId="0" fontId="18" fillId="0" borderId="6" xfId="0" applyFont="1" applyBorder="1" applyAlignment="1">
      <alignment vertical="top"/>
    </xf>
    <xf numFmtId="0" fontId="18" fillId="0" borderId="5" xfId="0" applyFont="1" applyBorder="1" applyAlignment="1">
      <alignment horizontal="left"/>
    </xf>
    <xf numFmtId="0" fontId="18" fillId="0" borderId="5" xfId="0" applyFont="1" applyBorder="1"/>
    <xf numFmtId="164" fontId="21" fillId="0" borderId="79" xfId="0" applyNumberFormat="1" applyFont="1" applyBorder="1" applyAlignment="1">
      <alignment horizontal="center" vertical="center"/>
    </xf>
    <xf numFmtId="164" fontId="21" fillId="0" borderId="88" xfId="0" applyNumberFormat="1" applyFont="1" applyBorder="1" applyAlignment="1">
      <alignment horizontal="center" vertical="center"/>
    </xf>
    <xf numFmtId="0" fontId="21" fillId="0" borderId="77" xfId="0" applyFont="1" applyBorder="1" applyAlignment="1">
      <alignment horizontal="center" vertical="center"/>
    </xf>
    <xf numFmtId="0" fontId="21" fillId="0" borderId="86" xfId="0" applyFont="1" applyBorder="1" applyAlignment="1">
      <alignment horizontal="center" vertical="center"/>
    </xf>
    <xf numFmtId="166" fontId="10" fillId="0" borderId="38" xfId="0" applyNumberFormat="1" applyFont="1" applyBorder="1" applyAlignment="1">
      <alignment vertical="top" wrapText="1"/>
    </xf>
    <xf numFmtId="166" fontId="10" fillId="0" borderId="39" xfId="0" applyNumberFormat="1" applyFont="1" applyBorder="1" applyAlignment="1">
      <alignment vertical="top" wrapText="1"/>
    </xf>
    <xf numFmtId="166" fontId="13" fillId="0" borderId="41" xfId="0" applyNumberFormat="1" applyFont="1" applyBorder="1" applyAlignment="1">
      <alignment vertical="top" wrapText="1"/>
    </xf>
    <xf numFmtId="166" fontId="13" fillId="0" borderId="42" xfId="0" applyNumberFormat="1" applyFont="1" applyBorder="1" applyAlignment="1">
      <alignment vertical="top" wrapText="1"/>
    </xf>
    <xf numFmtId="166" fontId="10" fillId="0" borderId="41" xfId="0" applyNumberFormat="1" applyFont="1" applyBorder="1" applyAlignment="1">
      <alignment vertical="top" wrapText="1"/>
    </xf>
    <xf numFmtId="166" fontId="10" fillId="0" borderId="42" xfId="0" applyNumberFormat="1" applyFont="1" applyBorder="1" applyAlignment="1">
      <alignment vertical="top" wrapText="1"/>
    </xf>
    <xf numFmtId="166" fontId="10" fillId="0" borderId="44" xfId="0" applyNumberFormat="1" applyFont="1" applyBorder="1" applyAlignment="1">
      <alignment vertical="top" wrapText="1"/>
    </xf>
    <xf numFmtId="166" fontId="10" fillId="0" borderId="45" xfId="0" applyNumberFormat="1" applyFont="1" applyBorder="1" applyAlignment="1">
      <alignment vertical="top" wrapText="1"/>
    </xf>
    <xf numFmtId="166" fontId="13" fillId="3" borderId="1" xfId="0" applyNumberFormat="1" applyFont="1" applyFill="1" applyBorder="1" applyAlignment="1">
      <alignment vertical="top" wrapText="1"/>
    </xf>
    <xf numFmtId="166" fontId="10" fillId="0" borderId="47" xfId="0" applyNumberFormat="1" applyFont="1" applyBorder="1" applyAlignment="1">
      <alignment vertical="top" wrapText="1"/>
    </xf>
    <xf numFmtId="166" fontId="10" fillId="0" borderId="48" xfId="0" applyNumberFormat="1" applyFont="1" applyBorder="1" applyAlignment="1">
      <alignment vertical="top" wrapText="1"/>
    </xf>
    <xf numFmtId="166" fontId="13" fillId="0" borderId="44" xfId="0" applyNumberFormat="1" applyFont="1" applyBorder="1" applyAlignment="1">
      <alignment vertical="top" wrapText="1"/>
    </xf>
    <xf numFmtId="166" fontId="13" fillId="0" borderId="45" xfId="0" applyNumberFormat="1" applyFont="1" applyBorder="1" applyAlignment="1">
      <alignment vertical="top" wrapText="1"/>
    </xf>
    <xf numFmtId="166" fontId="13" fillId="0" borderId="73" xfId="0" applyNumberFormat="1" applyFont="1" applyBorder="1" applyAlignment="1">
      <alignment vertical="top" wrapText="1"/>
    </xf>
    <xf numFmtId="166" fontId="13" fillId="0" borderId="74" xfId="0" applyNumberFormat="1" applyFont="1" applyBorder="1" applyAlignment="1">
      <alignment vertical="top" wrapText="1"/>
    </xf>
    <xf numFmtId="166" fontId="13" fillId="0" borderId="47" xfId="0" applyNumberFormat="1" applyFont="1" applyBorder="1" applyAlignment="1">
      <alignment vertical="top" wrapText="1"/>
    </xf>
    <xf numFmtId="166" fontId="13" fillId="0" borderId="48" xfId="0" applyNumberFormat="1" applyFont="1" applyBorder="1" applyAlignment="1">
      <alignment vertical="top" wrapText="1"/>
    </xf>
    <xf numFmtId="166" fontId="15" fillId="2" borderId="1" xfId="0" applyNumberFormat="1" applyFont="1" applyFill="1" applyBorder="1" applyAlignment="1">
      <alignment vertical="top" wrapText="1"/>
    </xf>
    <xf numFmtId="164" fontId="0" fillId="3" borderId="1" xfId="0" applyNumberFormat="1" applyFill="1" applyBorder="1" applyAlignment="1">
      <alignment horizontal="center" vertical="center" wrapText="1"/>
    </xf>
    <xf numFmtId="0" fontId="9" fillId="0" borderId="61" xfId="0" applyFont="1" applyBorder="1" applyAlignment="1">
      <alignment horizontal="left" vertical="top" wrapText="1"/>
    </xf>
    <xf numFmtId="0" fontId="0" fillId="0" borderId="61" xfId="0" applyBorder="1"/>
    <xf numFmtId="0" fontId="42" fillId="0" borderId="61" xfId="0" applyFont="1" applyBorder="1"/>
    <xf numFmtId="0" fontId="42" fillId="0" borderId="61" xfId="0" applyFont="1" applyBorder="1" applyAlignment="1">
      <alignment horizontal="left" vertical="top" wrapText="1"/>
    </xf>
    <xf numFmtId="0" fontId="9" fillId="0" borderId="61" xfId="0" applyFont="1" applyBorder="1" applyAlignment="1">
      <alignment wrapText="1"/>
    </xf>
    <xf numFmtId="0" fontId="9" fillId="0" borderId="61" xfId="0" applyFont="1" applyBorder="1"/>
    <xf numFmtId="0" fontId="13" fillId="3" borderId="1" xfId="0" applyFont="1" applyFill="1" applyBorder="1" applyAlignment="1">
      <alignment horizontal="center" vertical="center" wrapText="1"/>
    </xf>
    <xf numFmtId="0" fontId="10" fillId="0" borderId="46" xfId="0" applyFont="1" applyBorder="1" applyAlignment="1">
      <alignment vertical="center" wrapText="1"/>
    </xf>
    <xf numFmtId="0" fontId="10" fillId="0" borderId="47" xfId="0" applyFont="1" applyBorder="1" applyAlignment="1">
      <alignment vertical="center" wrapText="1"/>
    </xf>
    <xf numFmtId="164" fontId="10" fillId="0" borderId="47" xfId="0" applyNumberFormat="1" applyFont="1" applyBorder="1" applyAlignment="1">
      <alignment horizontal="center" vertical="center"/>
    </xf>
    <xf numFmtId="164" fontId="10" fillId="0" borderId="48" xfId="0" applyNumberFormat="1" applyFont="1" applyBorder="1" applyAlignment="1">
      <alignment horizontal="center" vertical="center"/>
    </xf>
    <xf numFmtId="0" fontId="10" fillId="0" borderId="40" xfId="0" applyFont="1" applyBorder="1" applyAlignment="1">
      <alignment vertical="center"/>
    </xf>
    <xf numFmtId="0" fontId="10" fillId="0" borderId="41" xfId="0" applyFont="1" applyBorder="1" applyAlignment="1">
      <alignment vertical="center" wrapText="1"/>
    </xf>
    <xf numFmtId="164" fontId="10" fillId="0" borderId="41" xfId="0" applyNumberFormat="1" applyFont="1" applyBorder="1" applyAlignment="1">
      <alignment horizontal="center" vertical="center"/>
    </xf>
    <xf numFmtId="164" fontId="10" fillId="0" borderId="42" xfId="0" applyNumberFormat="1" applyFont="1" applyBorder="1" applyAlignment="1">
      <alignment horizontal="center" vertical="center"/>
    </xf>
    <xf numFmtId="0" fontId="10" fillId="0" borderId="43" xfId="0" applyFont="1" applyBorder="1" applyAlignment="1">
      <alignment vertical="center"/>
    </xf>
    <xf numFmtId="0" fontId="10" fillId="0" borderId="44" xfId="0" applyFont="1" applyBorder="1" applyAlignment="1">
      <alignment vertical="center" wrapText="1"/>
    </xf>
    <xf numFmtId="164" fontId="10" fillId="0" borderId="44" xfId="0" applyNumberFormat="1" applyFont="1" applyBorder="1" applyAlignment="1">
      <alignment horizontal="center" vertical="center"/>
    </xf>
    <xf numFmtId="164" fontId="10" fillId="0" borderId="45" xfId="0" applyNumberFormat="1" applyFont="1" applyBorder="1" applyAlignment="1">
      <alignment horizontal="center" vertical="center"/>
    </xf>
    <xf numFmtId="0" fontId="43" fillId="7" borderId="1" xfId="0" applyFont="1" applyFill="1" applyBorder="1" applyAlignment="1">
      <alignment vertical="center"/>
    </xf>
    <xf numFmtId="0" fontId="43" fillId="7" borderId="1" xfId="0" applyFont="1" applyFill="1" applyBorder="1" applyAlignment="1">
      <alignment vertical="center" wrapText="1"/>
    </xf>
    <xf numFmtId="164" fontId="43" fillId="7" borderId="1" xfId="0" applyNumberFormat="1" applyFont="1" applyFill="1" applyBorder="1" applyAlignment="1">
      <alignment horizontal="center" vertical="center"/>
    </xf>
    <xf numFmtId="0" fontId="10" fillId="0" borderId="104" xfId="0" applyFont="1" applyBorder="1" applyAlignment="1">
      <alignment vertical="top" wrapText="1"/>
    </xf>
    <xf numFmtId="0" fontId="10" fillId="0" borderId="107" xfId="0" applyFont="1" applyBorder="1" applyAlignment="1">
      <alignment vertical="top" wrapText="1"/>
    </xf>
    <xf numFmtId="166" fontId="10" fillId="0" borderId="105" xfId="0" applyNumberFormat="1" applyFont="1" applyBorder="1" applyAlignment="1">
      <alignment vertical="top" wrapText="1"/>
    </xf>
    <xf numFmtId="166" fontId="10" fillId="0" borderId="106" xfId="0" applyNumberFormat="1" applyFont="1" applyBorder="1" applyAlignment="1">
      <alignment vertical="top" wrapText="1"/>
    </xf>
    <xf numFmtId="166" fontId="13" fillId="0" borderId="108" xfId="0" applyNumberFormat="1" applyFont="1" applyBorder="1" applyAlignment="1">
      <alignment vertical="top" wrapText="1"/>
    </xf>
    <xf numFmtId="166" fontId="13" fillId="0" borderId="109" xfId="0" applyNumberFormat="1" applyFont="1" applyBorder="1" applyAlignment="1">
      <alignment vertical="top" wrapText="1"/>
    </xf>
    <xf numFmtId="164" fontId="15" fillId="2" borderId="12" xfId="0" applyNumberFormat="1" applyFont="1" applyFill="1" applyBorder="1"/>
    <xf numFmtId="164" fontId="15" fillId="6" borderId="93" xfId="0" applyNumberFormat="1" applyFont="1" applyFill="1" applyBorder="1"/>
    <xf numFmtId="164" fontId="15" fillId="6" borderId="94" xfId="0" applyNumberFormat="1" applyFont="1" applyFill="1" applyBorder="1"/>
    <xf numFmtId="0" fontId="18" fillId="0" borderId="77" xfId="0" applyFont="1" applyBorder="1"/>
    <xf numFmtId="164" fontId="18" fillId="0" borderId="79" xfId="0" applyNumberFormat="1" applyFont="1" applyBorder="1"/>
    <xf numFmtId="0" fontId="18" fillId="0" borderId="86" xfId="0" applyFont="1" applyBorder="1"/>
    <xf numFmtId="164" fontId="18" fillId="0" borderId="88" xfId="0" applyNumberFormat="1" applyFont="1" applyBorder="1"/>
    <xf numFmtId="0" fontId="22" fillId="0" borderId="101" xfId="0" applyFont="1" applyBorder="1"/>
    <xf numFmtId="164" fontId="13" fillId="0" borderId="77" xfId="0" applyNumberFormat="1" applyFont="1" applyBorder="1" applyAlignment="1">
      <alignment horizontal="center" vertical="center"/>
    </xf>
    <xf numFmtId="164" fontId="13" fillId="0" borderId="86" xfId="0" applyNumberFormat="1" applyFont="1" applyBorder="1" applyAlignment="1">
      <alignment horizontal="center" vertical="center"/>
    </xf>
    <xf numFmtId="0" fontId="13" fillId="0" borderId="76" xfId="0" applyFont="1" applyBorder="1"/>
    <xf numFmtId="0" fontId="13" fillId="0" borderId="61" xfId="0" applyFont="1" applyBorder="1" applyAlignment="1">
      <alignment vertical="top" wrapText="1"/>
    </xf>
    <xf numFmtId="164" fontId="13" fillId="0" borderId="61" xfId="0" applyNumberFormat="1" applyFont="1" applyBorder="1" applyAlignment="1">
      <alignment horizontal="center" vertical="center"/>
    </xf>
    <xf numFmtId="0" fontId="18" fillId="0" borderId="110" xfId="0" applyFont="1" applyBorder="1" applyAlignment="1">
      <alignment vertical="top" wrapText="1"/>
    </xf>
    <xf numFmtId="164" fontId="18" fillId="0" borderId="111" xfId="0" applyNumberFormat="1" applyFont="1" applyBorder="1" applyAlignment="1">
      <alignment horizontal="center" vertical="center"/>
    </xf>
    <xf numFmtId="0" fontId="20" fillId="0" borderId="112" xfId="0" applyFont="1" applyBorder="1" applyAlignment="1">
      <alignment wrapText="1"/>
    </xf>
    <xf numFmtId="164" fontId="20" fillId="0" borderId="113" xfId="0" applyNumberFormat="1" applyFont="1" applyBorder="1" applyAlignment="1">
      <alignment horizontal="center" vertical="center"/>
    </xf>
    <xf numFmtId="164" fontId="20" fillId="0" borderId="114" xfId="0" applyNumberFormat="1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13" fillId="8" borderId="1" xfId="0" applyFont="1" applyFill="1" applyBorder="1" applyAlignment="1">
      <alignment horizontal="center"/>
    </xf>
    <xf numFmtId="0" fontId="13" fillId="9" borderId="30" xfId="0" applyFont="1" applyFill="1" applyBorder="1" applyAlignment="1">
      <alignment horizontal="center"/>
    </xf>
    <xf numFmtId="0" fontId="20" fillId="9" borderId="55" xfId="0" applyFont="1" applyFill="1" applyBorder="1"/>
    <xf numFmtId="164" fontId="20" fillId="9" borderId="56" xfId="0" applyNumberFormat="1" applyFont="1" applyFill="1" applyBorder="1" applyAlignment="1">
      <alignment horizontal="center" vertical="center"/>
    </xf>
    <xf numFmtId="164" fontId="20" fillId="9" borderId="57" xfId="0" applyNumberFormat="1" applyFont="1" applyFill="1" applyBorder="1" applyAlignment="1">
      <alignment horizontal="center" vertical="center"/>
    </xf>
    <xf numFmtId="0" fontId="20" fillId="9" borderId="55" xfId="0" applyFont="1" applyFill="1" applyBorder="1" applyAlignment="1">
      <alignment wrapText="1"/>
    </xf>
    <xf numFmtId="0" fontId="10" fillId="0" borderId="115" xfId="0" applyFont="1" applyBorder="1" applyAlignment="1">
      <alignment horizontal="left" vertical="top" wrapText="1"/>
    </xf>
    <xf numFmtId="0" fontId="10" fillId="3" borderId="70" xfId="0" applyFont="1" applyFill="1" applyBorder="1" applyAlignment="1">
      <alignment vertical="top" wrapText="1"/>
    </xf>
    <xf numFmtId="0" fontId="10" fillId="0" borderId="116" xfId="0" applyFont="1" applyBorder="1" applyAlignment="1">
      <alignment vertical="top" wrapText="1"/>
    </xf>
    <xf numFmtId="0" fontId="14" fillId="0" borderId="49" xfId="0" applyFont="1" applyBorder="1" applyAlignment="1">
      <alignment vertical="top" wrapText="1"/>
    </xf>
    <xf numFmtId="0" fontId="10" fillId="0" borderId="115" xfId="0" applyFont="1" applyBorder="1" applyAlignment="1">
      <alignment vertical="top" wrapText="1"/>
    </xf>
    <xf numFmtId="0" fontId="13" fillId="3" borderId="70" xfId="0" applyFont="1" applyFill="1" applyBorder="1" applyAlignment="1">
      <alignment vertical="top" wrapText="1"/>
    </xf>
    <xf numFmtId="0" fontId="10" fillId="0" borderId="49" xfId="0" applyFont="1" applyBorder="1" applyAlignment="1">
      <alignment vertical="top" wrapText="1"/>
    </xf>
    <xf numFmtId="0" fontId="13" fillId="3" borderId="14" xfId="0" applyFont="1" applyFill="1" applyBorder="1" applyAlignment="1">
      <alignment vertical="top" wrapText="1"/>
    </xf>
    <xf numFmtId="0" fontId="15" fillId="2" borderId="70" xfId="0" applyFont="1" applyFill="1" applyBorder="1" applyAlignment="1">
      <alignment vertical="top" wrapText="1"/>
    </xf>
    <xf numFmtId="164" fontId="10" fillId="0" borderId="117" xfId="0" applyNumberFormat="1" applyFont="1" applyBorder="1" applyAlignment="1">
      <alignment horizontal="center" vertical="center" wrapText="1"/>
    </xf>
    <xf numFmtId="164" fontId="10" fillId="0" borderId="118" xfId="0" applyNumberFormat="1" applyFont="1" applyBorder="1" applyAlignment="1">
      <alignment horizontal="center" vertical="center" wrapText="1"/>
    </xf>
    <xf numFmtId="164" fontId="10" fillId="0" borderId="119" xfId="0" applyNumberFormat="1" applyFont="1" applyBorder="1" applyAlignment="1">
      <alignment horizontal="center" vertical="center" wrapText="1"/>
    </xf>
    <xf numFmtId="164" fontId="10" fillId="0" borderId="120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vertical="top" wrapText="1"/>
    </xf>
    <xf numFmtId="164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166" fontId="10" fillId="0" borderId="1" xfId="0" applyNumberFormat="1" applyFont="1" applyBorder="1" applyAlignment="1">
      <alignment horizontal="center" vertical="center" wrapText="1"/>
    </xf>
    <xf numFmtId="164" fontId="13" fillId="0" borderId="1" xfId="0" applyNumberFormat="1" applyFont="1" applyBorder="1" applyAlignment="1">
      <alignment horizontal="center" vertical="center" wrapText="1"/>
    </xf>
    <xf numFmtId="0" fontId="10" fillId="0" borderId="110" xfId="0" applyFont="1" applyBorder="1" applyAlignment="1">
      <alignment vertical="top" wrapText="1"/>
    </xf>
    <xf numFmtId="0" fontId="0" fillId="0" borderId="122" xfId="0" applyBorder="1"/>
    <xf numFmtId="0" fontId="13" fillId="0" borderId="70" xfId="0" applyFont="1" applyBorder="1" applyAlignment="1">
      <alignment vertical="top" wrapText="1"/>
    </xf>
    <xf numFmtId="0" fontId="0" fillId="0" borderId="71" xfId="0" applyBorder="1"/>
    <xf numFmtId="164" fontId="10" fillId="0" borderId="121" xfId="0" applyNumberFormat="1" applyFont="1" applyBorder="1" applyAlignment="1">
      <alignment horizontal="center" vertical="center" wrapText="1"/>
    </xf>
    <xf numFmtId="164" fontId="13" fillId="0" borderId="119" xfId="0" applyNumberFormat="1" applyFont="1" applyBorder="1" applyAlignment="1">
      <alignment horizontal="center" vertical="center" wrapText="1"/>
    </xf>
    <xf numFmtId="0" fontId="10" fillId="0" borderId="119" xfId="0" applyFont="1" applyBorder="1" applyAlignment="1">
      <alignment horizontal="center" vertical="center" wrapText="1"/>
    </xf>
    <xf numFmtId="0" fontId="10" fillId="0" borderId="118" xfId="0" applyFont="1" applyBorder="1" applyAlignment="1">
      <alignment horizontal="center" vertical="center" wrapText="1"/>
    </xf>
    <xf numFmtId="14" fontId="10" fillId="0" borderId="69" xfId="0" applyNumberFormat="1" applyFont="1" applyBorder="1" applyProtection="1">
      <protection locked="0"/>
    </xf>
    <xf numFmtId="0" fontId="13" fillId="0" borderId="61" xfId="0" applyFont="1" applyBorder="1" applyAlignment="1">
      <alignment vertical="center" wrapText="1"/>
    </xf>
    <xf numFmtId="0" fontId="13" fillId="8" borderId="126" xfId="0" applyFont="1" applyFill="1" applyBorder="1" applyAlignment="1">
      <alignment horizontal="center"/>
    </xf>
    <xf numFmtId="0" fontId="13" fillId="8" borderId="127" xfId="0" applyFont="1" applyFill="1" applyBorder="1" applyAlignment="1">
      <alignment horizontal="center"/>
    </xf>
    <xf numFmtId="0" fontId="13" fillId="0" borderId="128" xfId="0" applyFont="1" applyBorder="1"/>
    <xf numFmtId="164" fontId="13" fillId="0" borderId="129" xfId="0" applyNumberFormat="1" applyFont="1" applyBorder="1"/>
    <xf numFmtId="0" fontId="13" fillId="0" borderId="130" xfId="0" applyFont="1" applyBorder="1"/>
    <xf numFmtId="164" fontId="13" fillId="0" borderId="131" xfId="0" applyNumberFormat="1" applyFont="1" applyBorder="1"/>
    <xf numFmtId="0" fontId="20" fillId="0" borderId="130" xfId="0" applyFont="1" applyBorder="1" applyAlignment="1">
      <alignment horizontal="left"/>
    </xf>
    <xf numFmtId="164" fontId="20" fillId="0" borderId="131" xfId="0" applyNumberFormat="1" applyFont="1" applyBorder="1"/>
    <xf numFmtId="0" fontId="18" fillId="0" borderId="130" xfId="0" applyFont="1" applyBorder="1"/>
    <xf numFmtId="0" fontId="18" fillId="0" borderId="132" xfId="0" applyFont="1" applyBorder="1"/>
    <xf numFmtId="0" fontId="20" fillId="9" borderId="133" xfId="0" applyFont="1" applyFill="1" applyBorder="1"/>
    <xf numFmtId="164" fontId="20" fillId="9" borderId="134" xfId="0" applyNumberFormat="1" applyFont="1" applyFill="1" applyBorder="1"/>
    <xf numFmtId="0" fontId="20" fillId="9" borderId="135" xfId="0" applyFont="1" applyFill="1" applyBorder="1"/>
    <xf numFmtId="164" fontId="20" fillId="9" borderId="136" xfId="0" applyNumberFormat="1" applyFont="1" applyFill="1" applyBorder="1"/>
    <xf numFmtId="164" fontId="20" fillId="9" borderId="137" xfId="0" applyNumberFormat="1" applyFont="1" applyFill="1" applyBorder="1"/>
    <xf numFmtId="164" fontId="13" fillId="0" borderId="138" xfId="0" applyNumberFormat="1" applyFont="1" applyBorder="1" applyAlignment="1">
      <alignment horizontal="center" vertical="center"/>
    </xf>
    <xf numFmtId="164" fontId="18" fillId="0" borderId="61" xfId="0" applyNumberFormat="1" applyFont="1" applyBorder="1" applyAlignment="1">
      <alignment horizontal="center" vertical="center"/>
    </xf>
    <xf numFmtId="0" fontId="37" fillId="0" borderId="0" xfId="0" applyFont="1" applyAlignment="1">
      <alignment horizontal="left"/>
    </xf>
    <xf numFmtId="0" fontId="38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60" xfId="0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30" fillId="0" borderId="0" xfId="1" applyFont="1" applyAlignment="1" applyProtection="1">
      <alignment horizontal="left"/>
      <protection locked="0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3" fillId="3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right"/>
    </xf>
    <xf numFmtId="0" fontId="13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top" wrapText="1"/>
    </xf>
    <xf numFmtId="0" fontId="16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0" fillId="0" borderId="60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0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0" fontId="19" fillId="0" borderId="0" xfId="1" applyFont="1" applyAlignment="1">
      <alignment horizontal="left"/>
    </xf>
    <xf numFmtId="0" fontId="13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16" fillId="0" borderId="36" xfId="0" applyFont="1" applyBorder="1" applyAlignment="1">
      <alignment horizontal="left"/>
    </xf>
    <xf numFmtId="165" fontId="10" fillId="0" borderId="0" xfId="0" applyNumberFormat="1" applyFont="1" applyAlignment="1">
      <alignment horizontal="left"/>
    </xf>
    <xf numFmtId="0" fontId="10" fillId="0" borderId="0" xfId="0" applyFont="1" applyBorder="1" applyAlignment="1">
      <alignment horizontal="center"/>
    </xf>
    <xf numFmtId="0" fontId="13" fillId="8" borderId="123" xfId="0" applyFont="1" applyFill="1" applyBorder="1" applyAlignment="1">
      <alignment horizontal="left"/>
    </xf>
    <xf numFmtId="0" fontId="13" fillId="8" borderId="124" xfId="0" applyFont="1" applyFill="1" applyBorder="1" applyAlignment="1">
      <alignment horizontal="left"/>
    </xf>
    <xf numFmtId="0" fontId="13" fillId="8" borderId="124" xfId="0" applyFont="1" applyFill="1" applyBorder="1" applyAlignment="1">
      <alignment horizontal="right"/>
    </xf>
    <xf numFmtId="0" fontId="13" fillId="8" borderId="125" xfId="0" applyFont="1" applyFill="1" applyBorder="1" applyAlignment="1">
      <alignment horizontal="right"/>
    </xf>
    <xf numFmtId="0" fontId="13" fillId="8" borderId="126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 vertical="center"/>
    </xf>
    <xf numFmtId="0" fontId="10" fillId="8" borderId="127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 vertical="center" wrapText="1"/>
    </xf>
    <xf numFmtId="0" fontId="10" fillId="8" borderId="127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left"/>
    </xf>
    <xf numFmtId="0" fontId="13" fillId="9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wrapText="1"/>
    </xf>
    <xf numFmtId="0" fontId="13" fillId="9" borderId="1" xfId="0" applyFont="1" applyFill="1" applyBorder="1" applyAlignment="1">
      <alignment horizontal="center" vertical="center"/>
    </xf>
    <xf numFmtId="0" fontId="10" fillId="9" borderId="70" xfId="0" applyFont="1" applyFill="1" applyBorder="1" applyAlignment="1">
      <alignment horizontal="center"/>
    </xf>
    <xf numFmtId="0" fontId="10" fillId="9" borderId="71" xfId="0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 vertical="center" wrapText="1"/>
    </xf>
    <xf numFmtId="0" fontId="2" fillId="0" borderId="0" xfId="1" applyAlignment="1">
      <alignment horizontal="left"/>
    </xf>
    <xf numFmtId="0" fontId="14" fillId="0" borderId="0" xfId="0" applyFont="1" applyAlignment="1">
      <alignment horizontal="right"/>
    </xf>
    <xf numFmtId="0" fontId="10" fillId="3" borderId="70" xfId="0" applyFont="1" applyFill="1" applyBorder="1" applyAlignment="1">
      <alignment horizontal="center"/>
    </xf>
    <xf numFmtId="0" fontId="10" fillId="3" borderId="7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 wrapText="1"/>
    </xf>
    <xf numFmtId="0" fontId="16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0" fontId="24" fillId="0" borderId="0" xfId="0" applyFont="1" applyAlignment="1">
      <alignment horizontal="center"/>
    </xf>
    <xf numFmtId="0" fontId="24" fillId="0" borderId="60" xfId="0" applyFont="1" applyBorder="1" applyAlignment="1">
      <alignment horizontal="center"/>
    </xf>
    <xf numFmtId="0" fontId="12" fillId="4" borderId="2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39" fillId="0" borderId="0" xfId="0" applyFont="1" applyAlignment="1">
      <alignment horizontal="center"/>
    </xf>
    <xf numFmtId="0" fontId="19" fillId="0" borderId="36" xfId="1" applyFont="1" applyBorder="1" applyAlignment="1">
      <alignment horizontal="left"/>
    </xf>
    <xf numFmtId="0" fontId="24" fillId="4" borderId="14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0" fontId="24" fillId="4" borderId="18" xfId="0" applyFont="1" applyFill="1" applyBorder="1" applyAlignment="1">
      <alignment horizontal="center" vertical="center"/>
    </xf>
    <xf numFmtId="0" fontId="24" fillId="4" borderId="19" xfId="0" applyFont="1" applyFill="1" applyBorder="1" applyAlignment="1">
      <alignment horizontal="center" vertical="center"/>
    </xf>
    <xf numFmtId="0" fontId="24" fillId="4" borderId="16" xfId="0" applyFont="1" applyFill="1" applyBorder="1" applyAlignment="1">
      <alignment horizontal="center" vertical="center" wrapText="1"/>
    </xf>
    <xf numFmtId="0" fontId="24" fillId="4" borderId="16" xfId="0" applyFont="1" applyFill="1" applyBorder="1" applyAlignment="1">
      <alignment horizontal="center"/>
    </xf>
    <xf numFmtId="0" fontId="24" fillId="4" borderId="17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64" fontId="6" fillId="4" borderId="50" xfId="0" applyNumberFormat="1" applyFont="1" applyFill="1" applyBorder="1" applyAlignment="1">
      <alignment horizontal="right"/>
    </xf>
    <xf numFmtId="164" fontId="6" fillId="4" borderId="12" xfId="0" applyNumberFormat="1" applyFont="1" applyFill="1" applyBorder="1" applyAlignment="1">
      <alignment horizontal="right"/>
    </xf>
    <xf numFmtId="164" fontId="6" fillId="4" borderId="51" xfId="0" applyNumberFormat="1" applyFont="1" applyFill="1" applyBorder="1" applyAlignment="1">
      <alignment horizontal="right"/>
    </xf>
    <xf numFmtId="164" fontId="6" fillId="4" borderId="13" xfId="0" applyNumberFormat="1" applyFont="1" applyFill="1" applyBorder="1" applyAlignment="1">
      <alignment horizontal="right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5" fillId="4" borderId="37" xfId="0" applyFont="1" applyFill="1" applyBorder="1" applyAlignment="1">
      <alignment horizontal="center" vertical="center" wrapText="1"/>
    </xf>
    <xf numFmtId="0" fontId="5" fillId="4" borderId="40" xfId="0" applyFont="1" applyFill="1" applyBorder="1" applyAlignment="1">
      <alignment horizontal="center" vertical="center" wrapText="1"/>
    </xf>
    <xf numFmtId="0" fontId="5" fillId="4" borderId="43" xfId="0" applyFont="1" applyFill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41" xfId="0" applyFont="1" applyFill="1" applyBorder="1" applyAlignment="1">
      <alignment horizontal="center" vertical="center" wrapText="1"/>
    </xf>
    <xf numFmtId="0" fontId="4" fillId="4" borderId="44" xfId="0" applyFont="1" applyFill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wrapText="1"/>
    </xf>
    <xf numFmtId="0" fontId="4" fillId="4" borderId="39" xfId="0" applyFont="1" applyFill="1" applyBorder="1" applyAlignment="1">
      <alignment horizontal="center" vertical="center" wrapText="1"/>
    </xf>
    <xf numFmtId="0" fontId="4" fillId="4" borderId="42" xfId="0" applyFont="1" applyFill="1" applyBorder="1" applyAlignment="1">
      <alignment horizontal="center" vertical="center" wrapText="1"/>
    </xf>
    <xf numFmtId="0" fontId="4" fillId="4" borderId="45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0" fillId="0" borderId="0" xfId="0" applyFont="1" applyAlignment="1">
      <alignment horizontal="right"/>
    </xf>
    <xf numFmtId="165" fontId="28" fillId="0" borderId="0" xfId="0" applyNumberFormat="1" applyFont="1" applyAlignment="1">
      <alignment horizontal="left"/>
    </xf>
    <xf numFmtId="0" fontId="27" fillId="0" borderId="36" xfId="0" applyFont="1" applyBorder="1" applyAlignment="1">
      <alignment horizontal="left"/>
    </xf>
    <xf numFmtId="0" fontId="2" fillId="0" borderId="36" xfId="1" applyBorder="1" applyAlignment="1">
      <alignment horizontal="left"/>
    </xf>
    <xf numFmtId="0" fontId="7" fillId="0" borderId="0" xfId="0" applyFont="1" applyAlignment="1">
      <alignment horizontal="center"/>
    </xf>
    <xf numFmtId="0" fontId="8" fillId="5" borderId="16" xfId="0" applyFont="1" applyFill="1" applyBorder="1" applyAlignment="1">
      <alignment horizontal="center" vertical="center" wrapText="1"/>
    </xf>
    <xf numFmtId="0" fontId="8" fillId="5" borderId="16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center" wrapText="1"/>
    </xf>
    <xf numFmtId="0" fontId="8" fillId="5" borderId="54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41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2" fillId="0" borderId="36" xfId="1" applyBorder="1" applyAlignment="1">
      <alignment horizontal="right"/>
    </xf>
    <xf numFmtId="0" fontId="13" fillId="0" borderId="0" xfId="0" applyFont="1" applyAlignment="1">
      <alignment horizontal="right"/>
    </xf>
    <xf numFmtId="0" fontId="0" fillId="0" borderId="65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6" xfId="0" applyBorder="1" applyAlignment="1">
      <alignment horizontal="center"/>
    </xf>
    <xf numFmtId="0" fontId="45" fillId="0" borderId="0" xfId="1" applyFont="1" applyAlignment="1">
      <alignment horizontal="left"/>
    </xf>
    <xf numFmtId="167" fontId="10" fillId="0" borderId="0" xfId="0" applyNumberFormat="1" applyFont="1" applyAlignment="1">
      <alignment horizontal="left"/>
    </xf>
    <xf numFmtId="0" fontId="44" fillId="0" borderId="36" xfId="0" applyFont="1" applyBorder="1" applyAlignment="1">
      <alignment horizontal="left"/>
    </xf>
    <xf numFmtId="0" fontId="13" fillId="3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7E6E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7E6E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7E6E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7E6E6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7E6E6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7E6E6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1057;&#1098;&#1076;&#1098;&#1088;&#1078;&#1072;&#1085;&#1080;&#107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2</xdr:rowOff>
    </xdr:from>
    <xdr:to>
      <xdr:col>0</xdr:col>
      <xdr:colOff>1990725</xdr:colOff>
      <xdr:row>0</xdr:row>
      <xdr:rowOff>142876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4" y="2"/>
          <a:ext cx="1981201" cy="1428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6</xdr:col>
      <xdr:colOff>381000</xdr:colOff>
      <xdr:row>2</xdr:row>
      <xdr:rowOff>9525</xdr:rowOff>
    </xdr:from>
    <xdr:to>
      <xdr:col>8</xdr:col>
      <xdr:colOff>228600</xdr:colOff>
      <xdr:row>5</xdr:row>
      <xdr:rowOff>19050</xdr:rowOff>
    </xdr:to>
    <xdr:sp macro="[0]!fixprint_SB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144250" y="209550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575916</xdr:colOff>
      <xdr:row>2</xdr:row>
      <xdr:rowOff>173198</xdr:rowOff>
    </xdr:from>
    <xdr:to>
      <xdr:col>12</xdr:col>
      <xdr:colOff>429022</xdr:colOff>
      <xdr:row>3</xdr:row>
      <xdr:rowOff>117815</xdr:rowOff>
    </xdr:to>
    <xdr:sp macro="[0]!СБ_Микро" textlink="">
      <xdr:nvSpPr>
        <xdr:cNvPr id="18" name="Freefor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4291916" y="576610"/>
          <a:ext cx="1668459" cy="191146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Микро</a:t>
          </a:r>
          <a:endParaRPr lang="en-US" sz="1100" kern="1200"/>
        </a:p>
      </xdr:txBody>
    </xdr:sp>
    <xdr:clientData/>
  </xdr:twoCellAnchor>
  <xdr:twoCellAnchor>
    <xdr:from>
      <xdr:col>15</xdr:col>
      <xdr:colOff>264437</xdr:colOff>
      <xdr:row>2</xdr:row>
      <xdr:rowOff>185104</xdr:rowOff>
    </xdr:from>
    <xdr:to>
      <xdr:col>18</xdr:col>
      <xdr:colOff>117542</xdr:colOff>
      <xdr:row>3</xdr:row>
      <xdr:rowOff>129721</xdr:rowOff>
    </xdr:to>
    <xdr:sp macro="[0]!СБ_Малки" textlink="">
      <xdr:nvSpPr>
        <xdr:cNvPr id="19" name="Freefor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7611143" y="588516"/>
          <a:ext cx="1668458" cy="191146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Малко</a:t>
          </a:r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1981200</xdr:colOff>
      <xdr:row>0</xdr:row>
      <xdr:rowOff>190500</xdr:rowOff>
    </xdr:to>
    <xdr:sp macro="" textlink="">
      <xdr:nvSpPr>
        <xdr:cNvPr id="22" name="Rounded Rectangl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0"/>
          <a:ext cx="1981200" cy="1905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457200</xdr:colOff>
      <xdr:row>6</xdr:row>
      <xdr:rowOff>57150</xdr:rowOff>
    </xdr:to>
    <xdr:sp macro="[0]!fixprint_SB_Sykraten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0810875" y="447675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9</xdr:col>
      <xdr:colOff>573462</xdr:colOff>
      <xdr:row>0</xdr:row>
      <xdr:rowOff>52339</xdr:rowOff>
    </xdr:from>
    <xdr:to>
      <xdr:col>18</xdr:col>
      <xdr:colOff>139793</xdr:colOff>
      <xdr:row>3</xdr:row>
      <xdr:rowOff>38428</xdr:rowOff>
    </xdr:to>
    <xdr:sp macro="[0]!Sort_bottom" textlink="">
      <xdr:nvSpPr>
        <xdr:cNvPr id="17" name="Freefor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4289462" y="52339"/>
          <a:ext cx="5012390" cy="636030"/>
        </a:xfrm>
        <a:custGeom>
          <a:avLst/>
          <a:gdLst>
            <a:gd name="connsiteX0" fmla="*/ 0 w 5048249"/>
            <a:gd name="connsiteY0" fmla="*/ 225563 h 644042"/>
            <a:gd name="connsiteX1" fmla="*/ 2443619 w 5048249"/>
            <a:gd name="connsiteY1" fmla="*/ 225563 h 644042"/>
            <a:gd name="connsiteX2" fmla="*/ 2443619 w 5048249"/>
            <a:gd name="connsiteY2" fmla="*/ 161011 h 644042"/>
            <a:gd name="connsiteX3" fmla="*/ 2363114 w 5048249"/>
            <a:gd name="connsiteY3" fmla="*/ 161011 h 644042"/>
            <a:gd name="connsiteX4" fmla="*/ 2524125 w 5048249"/>
            <a:gd name="connsiteY4" fmla="*/ 0 h 644042"/>
            <a:gd name="connsiteX5" fmla="*/ 2685135 w 5048249"/>
            <a:gd name="connsiteY5" fmla="*/ 161011 h 644042"/>
            <a:gd name="connsiteX6" fmla="*/ 2604630 w 5048249"/>
            <a:gd name="connsiteY6" fmla="*/ 161011 h 644042"/>
            <a:gd name="connsiteX7" fmla="*/ 2604630 w 5048249"/>
            <a:gd name="connsiteY7" fmla="*/ 225563 h 644042"/>
            <a:gd name="connsiteX8" fmla="*/ 5048249 w 5048249"/>
            <a:gd name="connsiteY8" fmla="*/ 225563 h 644042"/>
            <a:gd name="connsiteX9" fmla="*/ 5048249 w 5048249"/>
            <a:gd name="connsiteY9" fmla="*/ 644042 h 644042"/>
            <a:gd name="connsiteX10" fmla="*/ 0 w 5048249"/>
            <a:gd name="connsiteY10" fmla="*/ 644042 h 644042"/>
            <a:gd name="connsiteX11" fmla="*/ 0 w 5048249"/>
            <a:gd name="connsiteY11" fmla="*/ 225563 h 6440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5048249" h="644042">
              <a:moveTo>
                <a:pt x="5048249" y="418479"/>
              </a:moveTo>
              <a:lnTo>
                <a:pt x="2604630" y="418479"/>
              </a:lnTo>
              <a:lnTo>
                <a:pt x="2604630" y="483031"/>
              </a:lnTo>
              <a:lnTo>
                <a:pt x="2685135" y="483031"/>
              </a:lnTo>
              <a:lnTo>
                <a:pt x="2524124" y="644041"/>
              </a:lnTo>
              <a:lnTo>
                <a:pt x="2363114" y="483031"/>
              </a:lnTo>
              <a:lnTo>
                <a:pt x="2443619" y="483031"/>
              </a:lnTo>
              <a:lnTo>
                <a:pt x="2443619" y="418479"/>
              </a:lnTo>
              <a:lnTo>
                <a:pt x="0" y="418479"/>
              </a:lnTo>
              <a:lnTo>
                <a:pt x="0" y="1"/>
              </a:lnTo>
              <a:lnTo>
                <a:pt x="5048249" y="1"/>
              </a:lnTo>
              <a:lnTo>
                <a:pt x="5048249" y="418479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64008" tIns="64009" rIns="64008" bIns="481993" numCol="1" spcCol="1270" anchor="ctr" anchorCtr="0">
          <a:noAutofit/>
        </a:bodyPr>
        <a:lstStyle/>
        <a:p>
          <a:pPr lvl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900" kern="1200"/>
            <a:t>1. Изберете форма на отчета, съгласно категорията на предприятието:</a:t>
          </a:r>
          <a:endParaRPr lang="en-US" sz="900" kern="1200"/>
        </a:p>
      </xdr:txBody>
    </xdr:sp>
    <xdr:clientData/>
  </xdr:twoCellAnchor>
  <xdr:twoCellAnchor>
    <xdr:from>
      <xdr:col>9</xdr:col>
      <xdr:colOff>560294</xdr:colOff>
      <xdr:row>4</xdr:row>
      <xdr:rowOff>0</xdr:rowOff>
    </xdr:from>
    <xdr:to>
      <xdr:col>18</xdr:col>
      <xdr:colOff>123264</xdr:colOff>
      <xdr:row>7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76294" y="862853"/>
          <a:ext cx="5009029" cy="7171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solidFill>
                <a:schemeClr val="bg1"/>
              </a:solidFill>
            </a:rPr>
            <a:t>ВНИМАНИЕ:</a:t>
          </a:r>
          <a:r>
            <a:rPr lang="bg-BG" sz="1100" baseline="0">
              <a:solidFill>
                <a:schemeClr val="bg1"/>
              </a:solidFill>
            </a:rPr>
            <a:t> СЛЕД НАТИСКАНЕ НА БУТОН 2. ПРЕМАХВАНЕ НА ПРАЗНИТЕ РЕДОВЕ, ФОРМАТА НА ОТЧЕТА НЕ МОЖЕ ДА БЪДЕ ПРОМЕНЕНА!</a:t>
          </a:r>
          <a:endParaRPr lang="bg-BG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560295</xdr:colOff>
      <xdr:row>7</xdr:row>
      <xdr:rowOff>179294</xdr:rowOff>
    </xdr:from>
    <xdr:to>
      <xdr:col>18</xdr:col>
      <xdr:colOff>126626</xdr:colOff>
      <xdr:row>10</xdr:row>
      <xdr:rowOff>142971</xdr:rowOff>
    </xdr:to>
    <xdr:sp macro="[0]!Sort_bottom" textlink="">
      <xdr:nvSpPr>
        <xdr:cNvPr id="10" name="Freefor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4276295" y="1669676"/>
          <a:ext cx="5012390" cy="636030"/>
        </a:xfrm>
        <a:custGeom>
          <a:avLst/>
          <a:gdLst>
            <a:gd name="connsiteX0" fmla="*/ 0 w 5048249"/>
            <a:gd name="connsiteY0" fmla="*/ 225563 h 644042"/>
            <a:gd name="connsiteX1" fmla="*/ 2443619 w 5048249"/>
            <a:gd name="connsiteY1" fmla="*/ 225563 h 644042"/>
            <a:gd name="connsiteX2" fmla="*/ 2443619 w 5048249"/>
            <a:gd name="connsiteY2" fmla="*/ 161011 h 644042"/>
            <a:gd name="connsiteX3" fmla="*/ 2363114 w 5048249"/>
            <a:gd name="connsiteY3" fmla="*/ 161011 h 644042"/>
            <a:gd name="connsiteX4" fmla="*/ 2524125 w 5048249"/>
            <a:gd name="connsiteY4" fmla="*/ 0 h 644042"/>
            <a:gd name="connsiteX5" fmla="*/ 2685135 w 5048249"/>
            <a:gd name="connsiteY5" fmla="*/ 161011 h 644042"/>
            <a:gd name="connsiteX6" fmla="*/ 2604630 w 5048249"/>
            <a:gd name="connsiteY6" fmla="*/ 161011 h 644042"/>
            <a:gd name="connsiteX7" fmla="*/ 2604630 w 5048249"/>
            <a:gd name="connsiteY7" fmla="*/ 225563 h 644042"/>
            <a:gd name="connsiteX8" fmla="*/ 5048249 w 5048249"/>
            <a:gd name="connsiteY8" fmla="*/ 225563 h 644042"/>
            <a:gd name="connsiteX9" fmla="*/ 5048249 w 5048249"/>
            <a:gd name="connsiteY9" fmla="*/ 644042 h 644042"/>
            <a:gd name="connsiteX10" fmla="*/ 0 w 5048249"/>
            <a:gd name="connsiteY10" fmla="*/ 644042 h 644042"/>
            <a:gd name="connsiteX11" fmla="*/ 0 w 5048249"/>
            <a:gd name="connsiteY11" fmla="*/ 225563 h 6440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5048249" h="644042">
              <a:moveTo>
                <a:pt x="5048249" y="418479"/>
              </a:moveTo>
              <a:lnTo>
                <a:pt x="2604630" y="418479"/>
              </a:lnTo>
              <a:lnTo>
                <a:pt x="2604630" y="483031"/>
              </a:lnTo>
              <a:lnTo>
                <a:pt x="2685135" y="483031"/>
              </a:lnTo>
              <a:lnTo>
                <a:pt x="2524124" y="644041"/>
              </a:lnTo>
              <a:lnTo>
                <a:pt x="2363114" y="483031"/>
              </a:lnTo>
              <a:lnTo>
                <a:pt x="2443619" y="483031"/>
              </a:lnTo>
              <a:lnTo>
                <a:pt x="2443619" y="418479"/>
              </a:lnTo>
              <a:lnTo>
                <a:pt x="0" y="418479"/>
              </a:lnTo>
              <a:lnTo>
                <a:pt x="0" y="1"/>
              </a:lnTo>
              <a:lnTo>
                <a:pt x="5048249" y="1"/>
              </a:lnTo>
              <a:lnTo>
                <a:pt x="5048249" y="418479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64008" tIns="64009" rIns="64008" bIns="481993" numCol="1" spcCol="1270" anchor="ctr" anchorCtr="0">
          <a:noAutofit/>
        </a:bodyPr>
        <a:lstStyle/>
        <a:p>
          <a:pPr lvl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900" kern="1200"/>
            <a:t>1. Премахване</a:t>
          </a:r>
          <a:r>
            <a:rPr lang="bg-BG" sz="900" kern="1200" baseline="0"/>
            <a:t> на празните редове</a:t>
          </a:r>
          <a:r>
            <a:rPr lang="bg-BG" sz="900" kern="1200"/>
            <a:t>, съгласно категорията на предприятието:</a:t>
          </a:r>
          <a:endParaRPr lang="en-US" sz="900" kern="1200"/>
        </a:p>
      </xdr:txBody>
    </xdr:sp>
    <xdr:clientData/>
  </xdr:twoCellAnchor>
  <xdr:twoCellAnchor>
    <xdr:from>
      <xdr:col>9</xdr:col>
      <xdr:colOff>560294</xdr:colOff>
      <xdr:row>9</xdr:row>
      <xdr:rowOff>212911</xdr:rowOff>
    </xdr:from>
    <xdr:to>
      <xdr:col>12</xdr:col>
      <xdr:colOff>413400</xdr:colOff>
      <xdr:row>10</xdr:row>
      <xdr:rowOff>179940</xdr:rowOff>
    </xdr:to>
    <xdr:sp macro="[0]!sort_mikro" textlink="">
      <xdr:nvSpPr>
        <xdr:cNvPr id="24" name="Freefor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4276294" y="2151529"/>
          <a:ext cx="1668459" cy="191146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Микро</a:t>
          </a:r>
          <a:endParaRPr lang="en-US" sz="1100" kern="1200"/>
        </a:p>
      </xdr:txBody>
    </xdr:sp>
    <xdr:clientData/>
  </xdr:twoCellAnchor>
  <xdr:twoCellAnchor>
    <xdr:from>
      <xdr:col>15</xdr:col>
      <xdr:colOff>293639</xdr:colOff>
      <xdr:row>10</xdr:row>
      <xdr:rowOff>700</xdr:rowOff>
    </xdr:from>
    <xdr:to>
      <xdr:col>18</xdr:col>
      <xdr:colOff>146744</xdr:colOff>
      <xdr:row>10</xdr:row>
      <xdr:rowOff>191846</xdr:rowOff>
    </xdr:to>
    <xdr:sp macro="[0]!sort_malko" textlink="">
      <xdr:nvSpPr>
        <xdr:cNvPr id="25" name="Freefor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7640345" y="2163435"/>
          <a:ext cx="1668458" cy="191146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Малко</a:t>
          </a:r>
          <a:endParaRPr lang="en-US" sz="1100" kern="1200"/>
        </a:p>
      </xdr:txBody>
    </xdr:sp>
    <xdr:clientData/>
  </xdr:twoCellAnchor>
  <xdr:twoCellAnchor>
    <xdr:from>
      <xdr:col>19</xdr:col>
      <xdr:colOff>56030</xdr:colOff>
      <xdr:row>2</xdr:row>
      <xdr:rowOff>145676</xdr:rowOff>
    </xdr:from>
    <xdr:to>
      <xdr:col>21</xdr:col>
      <xdr:colOff>324970</xdr:colOff>
      <xdr:row>4</xdr:row>
      <xdr:rowOff>0</xdr:rowOff>
    </xdr:to>
    <xdr:sp macro="[0]!СБ_Празен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823206" y="549088"/>
          <a:ext cx="1479176" cy="31376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Празен отчет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575916</xdr:colOff>
      <xdr:row>3</xdr:row>
      <xdr:rowOff>173198</xdr:rowOff>
    </xdr:from>
    <xdr:to>
      <xdr:col>12</xdr:col>
      <xdr:colOff>429022</xdr:colOff>
      <xdr:row>4</xdr:row>
      <xdr:rowOff>117815</xdr:rowOff>
    </xdr:to>
    <xdr:sp macro="[0]!СБ_Микро" textlink="">
      <xdr:nvSpPr>
        <xdr:cNvPr id="2" name="Freeform 17">
          <a:extLst>
            <a:ext uri="{FF2B5EF4-FFF2-40B4-BE49-F238E27FC236}">
              <a16:creationId xmlns:a16="http://schemas.microsoft.com/office/drawing/2014/main" id="{7DC653CD-06E9-4F2E-A533-7A1342273CAA}"/>
            </a:ext>
          </a:extLst>
        </xdr:cNvPr>
        <xdr:cNvSpPr/>
      </xdr:nvSpPr>
      <xdr:spPr>
        <a:xfrm>
          <a:off x="14291916" y="573248"/>
          <a:ext cx="1681906" cy="192267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Микро</a:t>
          </a:r>
          <a:endParaRPr lang="en-US" sz="1100" kern="1200"/>
        </a:p>
      </xdr:txBody>
    </xdr:sp>
    <xdr:clientData/>
  </xdr:twoCellAnchor>
  <xdr:twoCellAnchor>
    <xdr:from>
      <xdr:col>15</xdr:col>
      <xdr:colOff>264437</xdr:colOff>
      <xdr:row>3</xdr:row>
      <xdr:rowOff>185104</xdr:rowOff>
    </xdr:from>
    <xdr:to>
      <xdr:col>18</xdr:col>
      <xdr:colOff>117542</xdr:colOff>
      <xdr:row>4</xdr:row>
      <xdr:rowOff>129721</xdr:rowOff>
    </xdr:to>
    <xdr:sp macro="[0]!СБ_Малки" textlink="">
      <xdr:nvSpPr>
        <xdr:cNvPr id="3" name="Freeform 18">
          <a:extLst>
            <a:ext uri="{FF2B5EF4-FFF2-40B4-BE49-F238E27FC236}">
              <a16:creationId xmlns:a16="http://schemas.microsoft.com/office/drawing/2014/main" id="{879328E0-149F-43F4-9CAE-427BF2BDB563}"/>
            </a:ext>
          </a:extLst>
        </xdr:cNvPr>
        <xdr:cNvSpPr/>
      </xdr:nvSpPr>
      <xdr:spPr>
        <a:xfrm>
          <a:off x="17638037" y="585154"/>
          <a:ext cx="1681905" cy="192267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Малко</a:t>
          </a:r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1981200</xdr:colOff>
      <xdr:row>0</xdr:row>
      <xdr:rowOff>190500</xdr:rowOff>
    </xdr:to>
    <xdr:sp macro="" textlink="">
      <xdr:nvSpPr>
        <xdr:cNvPr id="4" name="Rounded Rectangl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914221-DDFE-46D0-BF4D-53C0F7C7D019}"/>
            </a:ext>
          </a:extLst>
        </xdr:cNvPr>
        <xdr:cNvSpPr/>
      </xdr:nvSpPr>
      <xdr:spPr>
        <a:xfrm>
          <a:off x="0" y="0"/>
          <a:ext cx="1981200" cy="1905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457200</xdr:colOff>
      <xdr:row>7</xdr:row>
      <xdr:rowOff>57150</xdr:rowOff>
    </xdr:to>
    <xdr:sp macro="[0]!fixprint_SB_Sykraten" textlink="">
      <xdr:nvSpPr>
        <xdr:cNvPr id="5" name="Rounded Rectangle 20">
          <a:extLst>
            <a:ext uri="{FF2B5EF4-FFF2-40B4-BE49-F238E27FC236}">
              <a16:creationId xmlns:a16="http://schemas.microsoft.com/office/drawing/2014/main" id="{CBB4973D-E64E-42DC-92A6-C8300120D98E}"/>
            </a:ext>
          </a:extLst>
        </xdr:cNvPr>
        <xdr:cNvSpPr/>
      </xdr:nvSpPr>
      <xdr:spPr>
        <a:xfrm>
          <a:off x="13106400" y="647700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9</xdr:col>
      <xdr:colOff>573462</xdr:colOff>
      <xdr:row>0</xdr:row>
      <xdr:rowOff>52339</xdr:rowOff>
    </xdr:from>
    <xdr:to>
      <xdr:col>18</xdr:col>
      <xdr:colOff>139793</xdr:colOff>
      <xdr:row>4</xdr:row>
      <xdr:rowOff>38428</xdr:rowOff>
    </xdr:to>
    <xdr:sp macro="[0]!Sort_bottom" textlink="">
      <xdr:nvSpPr>
        <xdr:cNvPr id="6" name="Freeform 16">
          <a:extLst>
            <a:ext uri="{FF2B5EF4-FFF2-40B4-BE49-F238E27FC236}">
              <a16:creationId xmlns:a16="http://schemas.microsoft.com/office/drawing/2014/main" id="{DEBC2211-82F2-4E16-BE5B-D5363594922D}"/>
            </a:ext>
          </a:extLst>
        </xdr:cNvPr>
        <xdr:cNvSpPr/>
      </xdr:nvSpPr>
      <xdr:spPr>
        <a:xfrm>
          <a:off x="14289462" y="52339"/>
          <a:ext cx="5052731" cy="633789"/>
        </a:xfrm>
        <a:custGeom>
          <a:avLst/>
          <a:gdLst>
            <a:gd name="connsiteX0" fmla="*/ 0 w 5048249"/>
            <a:gd name="connsiteY0" fmla="*/ 225563 h 644042"/>
            <a:gd name="connsiteX1" fmla="*/ 2443619 w 5048249"/>
            <a:gd name="connsiteY1" fmla="*/ 225563 h 644042"/>
            <a:gd name="connsiteX2" fmla="*/ 2443619 w 5048249"/>
            <a:gd name="connsiteY2" fmla="*/ 161011 h 644042"/>
            <a:gd name="connsiteX3" fmla="*/ 2363114 w 5048249"/>
            <a:gd name="connsiteY3" fmla="*/ 161011 h 644042"/>
            <a:gd name="connsiteX4" fmla="*/ 2524125 w 5048249"/>
            <a:gd name="connsiteY4" fmla="*/ 0 h 644042"/>
            <a:gd name="connsiteX5" fmla="*/ 2685135 w 5048249"/>
            <a:gd name="connsiteY5" fmla="*/ 161011 h 644042"/>
            <a:gd name="connsiteX6" fmla="*/ 2604630 w 5048249"/>
            <a:gd name="connsiteY6" fmla="*/ 161011 h 644042"/>
            <a:gd name="connsiteX7" fmla="*/ 2604630 w 5048249"/>
            <a:gd name="connsiteY7" fmla="*/ 225563 h 644042"/>
            <a:gd name="connsiteX8" fmla="*/ 5048249 w 5048249"/>
            <a:gd name="connsiteY8" fmla="*/ 225563 h 644042"/>
            <a:gd name="connsiteX9" fmla="*/ 5048249 w 5048249"/>
            <a:gd name="connsiteY9" fmla="*/ 644042 h 644042"/>
            <a:gd name="connsiteX10" fmla="*/ 0 w 5048249"/>
            <a:gd name="connsiteY10" fmla="*/ 644042 h 644042"/>
            <a:gd name="connsiteX11" fmla="*/ 0 w 5048249"/>
            <a:gd name="connsiteY11" fmla="*/ 225563 h 6440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5048249" h="644042">
              <a:moveTo>
                <a:pt x="5048249" y="418479"/>
              </a:moveTo>
              <a:lnTo>
                <a:pt x="2604630" y="418479"/>
              </a:lnTo>
              <a:lnTo>
                <a:pt x="2604630" y="483031"/>
              </a:lnTo>
              <a:lnTo>
                <a:pt x="2685135" y="483031"/>
              </a:lnTo>
              <a:lnTo>
                <a:pt x="2524124" y="644041"/>
              </a:lnTo>
              <a:lnTo>
                <a:pt x="2363114" y="483031"/>
              </a:lnTo>
              <a:lnTo>
                <a:pt x="2443619" y="483031"/>
              </a:lnTo>
              <a:lnTo>
                <a:pt x="2443619" y="418479"/>
              </a:lnTo>
              <a:lnTo>
                <a:pt x="0" y="418479"/>
              </a:lnTo>
              <a:lnTo>
                <a:pt x="0" y="1"/>
              </a:lnTo>
              <a:lnTo>
                <a:pt x="5048249" y="1"/>
              </a:lnTo>
              <a:lnTo>
                <a:pt x="5048249" y="418479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64008" tIns="64009" rIns="64008" bIns="481993" numCol="1" spcCol="1270" anchor="ctr" anchorCtr="0">
          <a:noAutofit/>
        </a:bodyPr>
        <a:lstStyle/>
        <a:p>
          <a:pPr lvl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900" kern="1200"/>
            <a:t>1. Изберете форма на отчета, съгласно категорията на предприятието:</a:t>
          </a:r>
          <a:endParaRPr lang="en-US" sz="900" kern="1200"/>
        </a:p>
      </xdr:txBody>
    </xdr:sp>
    <xdr:clientData/>
  </xdr:twoCellAnchor>
  <xdr:twoCellAnchor>
    <xdr:from>
      <xdr:col>9</xdr:col>
      <xdr:colOff>560294</xdr:colOff>
      <xdr:row>5</xdr:row>
      <xdr:rowOff>0</xdr:rowOff>
    </xdr:from>
    <xdr:to>
      <xdr:col>18</xdr:col>
      <xdr:colOff>123264</xdr:colOff>
      <xdr:row>8</xdr:row>
      <xdr:rowOff>89647</xdr:rowOff>
    </xdr:to>
    <xdr:sp macro="" textlink="">
      <xdr:nvSpPr>
        <xdr:cNvPr id="7" name="Rectangle 1">
          <a:extLst>
            <a:ext uri="{FF2B5EF4-FFF2-40B4-BE49-F238E27FC236}">
              <a16:creationId xmlns:a16="http://schemas.microsoft.com/office/drawing/2014/main" id="{C1A27BFF-7822-4980-92D1-0F4A9BF0846C}"/>
            </a:ext>
          </a:extLst>
        </xdr:cNvPr>
        <xdr:cNvSpPr/>
      </xdr:nvSpPr>
      <xdr:spPr>
        <a:xfrm>
          <a:off x="14276294" y="857250"/>
          <a:ext cx="5049370" cy="7087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solidFill>
                <a:schemeClr val="bg1"/>
              </a:solidFill>
            </a:rPr>
            <a:t>ВНИМАНИЕ:</a:t>
          </a:r>
          <a:r>
            <a:rPr lang="bg-BG" sz="1100" baseline="0">
              <a:solidFill>
                <a:schemeClr val="bg1"/>
              </a:solidFill>
            </a:rPr>
            <a:t> СЛЕД НАТИСКАНЕ НА БУТОН 2. ПРЕМАХВАНЕ НА ПРАЗНИТЕ РЕДОВЕ, ФОРМАТА НА ОТЧЕТА НЕ МОЖЕ ДА БЪДЕ ПРОМЕНЕНА!</a:t>
          </a:r>
          <a:endParaRPr lang="bg-BG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560295</xdr:colOff>
      <xdr:row>8</xdr:row>
      <xdr:rowOff>179294</xdr:rowOff>
    </xdr:from>
    <xdr:to>
      <xdr:col>18</xdr:col>
      <xdr:colOff>126626</xdr:colOff>
      <xdr:row>11</xdr:row>
      <xdr:rowOff>142971</xdr:rowOff>
    </xdr:to>
    <xdr:sp macro="[0]!Sort_bottom" textlink="">
      <xdr:nvSpPr>
        <xdr:cNvPr id="8" name="Freeform 9">
          <a:extLst>
            <a:ext uri="{FF2B5EF4-FFF2-40B4-BE49-F238E27FC236}">
              <a16:creationId xmlns:a16="http://schemas.microsoft.com/office/drawing/2014/main" id="{577D2370-D3C4-48EA-8197-BBA2647BB654}"/>
            </a:ext>
          </a:extLst>
        </xdr:cNvPr>
        <xdr:cNvSpPr/>
      </xdr:nvSpPr>
      <xdr:spPr>
        <a:xfrm>
          <a:off x="14276295" y="1655669"/>
          <a:ext cx="5052731" cy="620902"/>
        </a:xfrm>
        <a:custGeom>
          <a:avLst/>
          <a:gdLst>
            <a:gd name="connsiteX0" fmla="*/ 0 w 5048249"/>
            <a:gd name="connsiteY0" fmla="*/ 225563 h 644042"/>
            <a:gd name="connsiteX1" fmla="*/ 2443619 w 5048249"/>
            <a:gd name="connsiteY1" fmla="*/ 225563 h 644042"/>
            <a:gd name="connsiteX2" fmla="*/ 2443619 w 5048249"/>
            <a:gd name="connsiteY2" fmla="*/ 161011 h 644042"/>
            <a:gd name="connsiteX3" fmla="*/ 2363114 w 5048249"/>
            <a:gd name="connsiteY3" fmla="*/ 161011 h 644042"/>
            <a:gd name="connsiteX4" fmla="*/ 2524125 w 5048249"/>
            <a:gd name="connsiteY4" fmla="*/ 0 h 644042"/>
            <a:gd name="connsiteX5" fmla="*/ 2685135 w 5048249"/>
            <a:gd name="connsiteY5" fmla="*/ 161011 h 644042"/>
            <a:gd name="connsiteX6" fmla="*/ 2604630 w 5048249"/>
            <a:gd name="connsiteY6" fmla="*/ 161011 h 644042"/>
            <a:gd name="connsiteX7" fmla="*/ 2604630 w 5048249"/>
            <a:gd name="connsiteY7" fmla="*/ 225563 h 644042"/>
            <a:gd name="connsiteX8" fmla="*/ 5048249 w 5048249"/>
            <a:gd name="connsiteY8" fmla="*/ 225563 h 644042"/>
            <a:gd name="connsiteX9" fmla="*/ 5048249 w 5048249"/>
            <a:gd name="connsiteY9" fmla="*/ 644042 h 644042"/>
            <a:gd name="connsiteX10" fmla="*/ 0 w 5048249"/>
            <a:gd name="connsiteY10" fmla="*/ 644042 h 644042"/>
            <a:gd name="connsiteX11" fmla="*/ 0 w 5048249"/>
            <a:gd name="connsiteY11" fmla="*/ 225563 h 6440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5048249" h="644042">
              <a:moveTo>
                <a:pt x="5048249" y="418479"/>
              </a:moveTo>
              <a:lnTo>
                <a:pt x="2604630" y="418479"/>
              </a:lnTo>
              <a:lnTo>
                <a:pt x="2604630" y="483031"/>
              </a:lnTo>
              <a:lnTo>
                <a:pt x="2685135" y="483031"/>
              </a:lnTo>
              <a:lnTo>
                <a:pt x="2524124" y="644041"/>
              </a:lnTo>
              <a:lnTo>
                <a:pt x="2363114" y="483031"/>
              </a:lnTo>
              <a:lnTo>
                <a:pt x="2443619" y="483031"/>
              </a:lnTo>
              <a:lnTo>
                <a:pt x="2443619" y="418479"/>
              </a:lnTo>
              <a:lnTo>
                <a:pt x="0" y="418479"/>
              </a:lnTo>
              <a:lnTo>
                <a:pt x="0" y="1"/>
              </a:lnTo>
              <a:lnTo>
                <a:pt x="5048249" y="1"/>
              </a:lnTo>
              <a:lnTo>
                <a:pt x="5048249" y="418479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64008" tIns="64009" rIns="64008" bIns="481993" numCol="1" spcCol="1270" anchor="ctr" anchorCtr="0">
          <a:noAutofit/>
        </a:bodyPr>
        <a:lstStyle/>
        <a:p>
          <a:pPr lvl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900" kern="1200"/>
            <a:t>1. Премахване</a:t>
          </a:r>
          <a:r>
            <a:rPr lang="bg-BG" sz="900" kern="1200" baseline="0"/>
            <a:t> на празните редове</a:t>
          </a:r>
          <a:r>
            <a:rPr lang="bg-BG" sz="900" kern="1200"/>
            <a:t>, съгласно категорията на предприятието:</a:t>
          </a:r>
          <a:endParaRPr lang="en-US" sz="900" kern="1200"/>
        </a:p>
      </xdr:txBody>
    </xdr:sp>
    <xdr:clientData/>
  </xdr:twoCellAnchor>
  <xdr:twoCellAnchor>
    <xdr:from>
      <xdr:col>9</xdr:col>
      <xdr:colOff>560294</xdr:colOff>
      <xdr:row>10</xdr:row>
      <xdr:rowOff>212911</xdr:rowOff>
    </xdr:from>
    <xdr:to>
      <xdr:col>12</xdr:col>
      <xdr:colOff>413400</xdr:colOff>
      <xdr:row>11</xdr:row>
      <xdr:rowOff>179940</xdr:rowOff>
    </xdr:to>
    <xdr:sp macro="[0]!sort_mikro" textlink="">
      <xdr:nvSpPr>
        <xdr:cNvPr id="9" name="Freeform 23">
          <a:extLst>
            <a:ext uri="{FF2B5EF4-FFF2-40B4-BE49-F238E27FC236}">
              <a16:creationId xmlns:a16="http://schemas.microsoft.com/office/drawing/2014/main" id="{0D09FA43-2625-414A-B08E-EC53B6228247}"/>
            </a:ext>
          </a:extLst>
        </xdr:cNvPr>
        <xdr:cNvSpPr/>
      </xdr:nvSpPr>
      <xdr:spPr>
        <a:xfrm>
          <a:off x="14276294" y="2127436"/>
          <a:ext cx="1681906" cy="186104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Микро</a:t>
          </a:r>
          <a:endParaRPr lang="en-US" sz="1100" kern="1200"/>
        </a:p>
      </xdr:txBody>
    </xdr:sp>
    <xdr:clientData/>
  </xdr:twoCellAnchor>
  <xdr:twoCellAnchor>
    <xdr:from>
      <xdr:col>15</xdr:col>
      <xdr:colOff>293639</xdr:colOff>
      <xdr:row>11</xdr:row>
      <xdr:rowOff>700</xdr:rowOff>
    </xdr:from>
    <xdr:to>
      <xdr:col>18</xdr:col>
      <xdr:colOff>146744</xdr:colOff>
      <xdr:row>11</xdr:row>
      <xdr:rowOff>191846</xdr:rowOff>
    </xdr:to>
    <xdr:sp macro="[0]!sort_malko" textlink="">
      <xdr:nvSpPr>
        <xdr:cNvPr id="10" name="Freeform 24">
          <a:extLst>
            <a:ext uri="{FF2B5EF4-FFF2-40B4-BE49-F238E27FC236}">
              <a16:creationId xmlns:a16="http://schemas.microsoft.com/office/drawing/2014/main" id="{D515A9C9-7F83-406A-BAD3-FC39BA3BF8F4}"/>
            </a:ext>
          </a:extLst>
        </xdr:cNvPr>
        <xdr:cNvSpPr/>
      </xdr:nvSpPr>
      <xdr:spPr>
        <a:xfrm>
          <a:off x="17667239" y="2134300"/>
          <a:ext cx="1681905" cy="191146"/>
        </a:xfrm>
        <a:custGeom>
          <a:avLst/>
          <a:gdLst>
            <a:gd name="connsiteX0" fmla="*/ 0 w 1681106"/>
            <a:gd name="connsiteY0" fmla="*/ 0 h 192568"/>
            <a:gd name="connsiteX1" fmla="*/ 1681106 w 1681106"/>
            <a:gd name="connsiteY1" fmla="*/ 0 h 192568"/>
            <a:gd name="connsiteX2" fmla="*/ 1681106 w 1681106"/>
            <a:gd name="connsiteY2" fmla="*/ 192568 h 192568"/>
            <a:gd name="connsiteX3" fmla="*/ 0 w 1681106"/>
            <a:gd name="connsiteY3" fmla="*/ 192568 h 192568"/>
            <a:gd name="connsiteX4" fmla="*/ 0 w 1681106"/>
            <a:gd name="connsiteY4" fmla="*/ 0 h 1925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681106" h="192568">
              <a:moveTo>
                <a:pt x="0" y="0"/>
              </a:moveTo>
              <a:lnTo>
                <a:pt x="1681106" y="0"/>
              </a:lnTo>
              <a:lnTo>
                <a:pt x="1681106" y="192568"/>
              </a:lnTo>
              <a:lnTo>
                <a:pt x="0" y="19256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alpha val="90000"/>
            <a:tint val="40000"/>
            <a:hueOff val="0"/>
            <a:satOff val="0"/>
            <a:lumOff val="0"/>
            <a:alphaOff val="0"/>
          </a:schemeClr>
        </a:lnRef>
        <a:fillRef idx="1">
          <a:schemeClr val="accent1">
            <a:alpha val="90000"/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alpha val="90000"/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spcFirstLastPara="0" vert="horz" wrap="square" lIns="78232" tIns="13970" rIns="78232" bIns="1397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100" kern="1200"/>
            <a:t>Малко</a:t>
          </a:r>
          <a:endParaRPr lang="en-US" sz="1100" kern="1200"/>
        </a:p>
      </xdr:txBody>
    </xdr:sp>
    <xdr:clientData/>
  </xdr:twoCellAnchor>
  <xdr:twoCellAnchor>
    <xdr:from>
      <xdr:col>19</xdr:col>
      <xdr:colOff>56030</xdr:colOff>
      <xdr:row>3</xdr:row>
      <xdr:rowOff>145676</xdr:rowOff>
    </xdr:from>
    <xdr:to>
      <xdr:col>21</xdr:col>
      <xdr:colOff>324970</xdr:colOff>
      <xdr:row>5</xdr:row>
      <xdr:rowOff>0</xdr:rowOff>
    </xdr:to>
    <xdr:sp macro="[0]!СБ_Празен" textlink="">
      <xdr:nvSpPr>
        <xdr:cNvPr id="11" name="Rounded Rectangle 2">
          <a:extLst>
            <a:ext uri="{FF2B5EF4-FFF2-40B4-BE49-F238E27FC236}">
              <a16:creationId xmlns:a16="http://schemas.microsoft.com/office/drawing/2014/main" id="{DF2B322A-02A5-42BA-B915-8710BC902241}"/>
            </a:ext>
          </a:extLst>
        </xdr:cNvPr>
        <xdr:cNvSpPr/>
      </xdr:nvSpPr>
      <xdr:spPr>
        <a:xfrm>
          <a:off x="19868030" y="545726"/>
          <a:ext cx="1488140" cy="31152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Празен отчет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2047874</xdr:colOff>
      <xdr:row>0</xdr:row>
      <xdr:rowOff>95250</xdr:rowOff>
    </xdr:to>
    <xdr:sp macro="" textlink="">
      <xdr:nvSpPr>
        <xdr:cNvPr id="2" name="Rounded Rectangle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0CDC1E-6B47-491A-92BC-54B720029EA4}"/>
            </a:ext>
          </a:extLst>
        </xdr:cNvPr>
        <xdr:cNvSpPr/>
      </xdr:nvSpPr>
      <xdr:spPr>
        <a:xfrm>
          <a:off x="0" y="0"/>
          <a:ext cx="2047874" cy="95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10</xdr:col>
      <xdr:colOff>457200</xdr:colOff>
      <xdr:row>4</xdr:row>
      <xdr:rowOff>19050</xdr:rowOff>
    </xdr:to>
    <xdr:sp macro="[0]!fixprint_OPR_Sykraten" textlink="">
      <xdr:nvSpPr>
        <xdr:cNvPr id="3" name="Rounded Rectangle 7">
          <a:extLst>
            <a:ext uri="{FF2B5EF4-FFF2-40B4-BE49-F238E27FC236}">
              <a16:creationId xmlns:a16="http://schemas.microsoft.com/office/drawing/2014/main" id="{6EE334EE-534B-41FB-9809-C14F9BE7108D}"/>
            </a:ext>
          </a:extLst>
        </xdr:cNvPr>
        <xdr:cNvSpPr/>
      </xdr:nvSpPr>
      <xdr:spPr>
        <a:xfrm>
          <a:off x="11658600" y="200025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11</xdr:col>
      <xdr:colOff>500063</xdr:colOff>
      <xdr:row>1</xdr:row>
      <xdr:rowOff>107156</xdr:rowOff>
    </xdr:from>
    <xdr:to>
      <xdr:col>14</xdr:col>
      <xdr:colOff>83343</xdr:colOff>
      <xdr:row>4</xdr:row>
      <xdr:rowOff>47625</xdr:rowOff>
    </xdr:to>
    <xdr:sp macro="[0]!ОПР_Празно" textlink="">
      <xdr:nvSpPr>
        <xdr:cNvPr id="4" name="Rounded Rectangle 1">
          <a:extLst>
            <a:ext uri="{FF2B5EF4-FFF2-40B4-BE49-F238E27FC236}">
              <a16:creationId xmlns:a16="http://schemas.microsoft.com/office/drawing/2014/main" id="{FFC1F8A0-A1A7-47C2-9F4E-E4FE4B9687F1}"/>
            </a:ext>
          </a:extLst>
        </xdr:cNvPr>
        <xdr:cNvSpPr/>
      </xdr:nvSpPr>
      <xdr:spPr>
        <a:xfrm>
          <a:off x="13377863" y="307181"/>
          <a:ext cx="1412080" cy="59769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Празен отчет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2038350</xdr:colOff>
      <xdr:row>0</xdr:row>
      <xdr:rowOff>152401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1"/>
          <a:ext cx="2038350" cy="152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2047874</xdr:colOff>
      <xdr:row>0</xdr:row>
      <xdr:rowOff>95250</xdr:rowOff>
    </xdr:to>
    <xdr:sp macro="" textlink="">
      <xdr:nvSpPr>
        <xdr:cNvPr id="14" name="Rounded Rectangle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0" y="0"/>
          <a:ext cx="2047874" cy="95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10</xdr:col>
      <xdr:colOff>457200</xdr:colOff>
      <xdr:row>4</xdr:row>
      <xdr:rowOff>19050</xdr:rowOff>
    </xdr:to>
    <xdr:sp macro="[0]!fixprint_OPR_Sykraten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144125" y="200025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11</xdr:col>
      <xdr:colOff>500063</xdr:colOff>
      <xdr:row>1</xdr:row>
      <xdr:rowOff>107156</xdr:rowOff>
    </xdr:from>
    <xdr:to>
      <xdr:col>14</xdr:col>
      <xdr:colOff>83343</xdr:colOff>
      <xdr:row>4</xdr:row>
      <xdr:rowOff>47625</xdr:rowOff>
    </xdr:to>
    <xdr:sp macro="[0]!ОПР_Празно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370719" y="309562"/>
          <a:ext cx="1404937" cy="60721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Празен отчет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1562100</xdr:colOff>
      <xdr:row>0</xdr:row>
      <xdr:rowOff>114300</xdr:rowOff>
    </xdr:to>
    <xdr:sp macro="" textlink="">
      <xdr:nvSpPr>
        <xdr:cNvPr id="5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0" y="1"/>
          <a:ext cx="1981200" cy="11429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457200</xdr:colOff>
      <xdr:row>3</xdr:row>
      <xdr:rowOff>219075</xdr:rowOff>
    </xdr:to>
    <xdr:sp macro="[0]!fixprint_OPP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963150" y="0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13</xdr:col>
      <xdr:colOff>361950</xdr:colOff>
      <xdr:row>6</xdr:row>
      <xdr:rowOff>57150</xdr:rowOff>
    </xdr:from>
    <xdr:to>
      <xdr:col>20</xdr:col>
      <xdr:colOff>561975</xdr:colOff>
      <xdr:row>9</xdr:row>
      <xdr:rowOff>161925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13034010" y="1352550"/>
          <a:ext cx="4573905" cy="737235"/>
          <a:chOff x="12011023" y="1390650"/>
          <a:chExt cx="4514852" cy="819150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2011023" y="1390650"/>
            <a:ext cx="4514852" cy="819150"/>
          </a:xfrm>
          <a:custGeom>
            <a:avLst/>
            <a:gdLst>
              <a:gd name="connsiteX0" fmla="*/ 0 w 4514852"/>
              <a:gd name="connsiteY0" fmla="*/ 0 h 819150"/>
              <a:gd name="connsiteX1" fmla="*/ 4514852 w 4514852"/>
              <a:gd name="connsiteY1" fmla="*/ 0 h 819150"/>
              <a:gd name="connsiteX2" fmla="*/ 4514852 w 4514852"/>
              <a:gd name="connsiteY2" fmla="*/ 819150 h 819150"/>
              <a:gd name="connsiteX3" fmla="*/ 0 w 4514852"/>
              <a:gd name="connsiteY3" fmla="*/ 819150 h 819150"/>
              <a:gd name="connsiteX4" fmla="*/ 0 w 4514852"/>
              <a:gd name="connsiteY4" fmla="*/ 0 h 819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514852" h="819150">
                <a:moveTo>
                  <a:pt x="0" y="0"/>
                </a:moveTo>
                <a:lnTo>
                  <a:pt x="4514852" y="0"/>
                </a:lnTo>
                <a:lnTo>
                  <a:pt x="4514852" y="819150"/>
                </a:lnTo>
                <a:lnTo>
                  <a:pt x="0" y="81915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6680" tIns="106680" rIns="106680" bIns="483489" numCol="1" spcCol="1270" anchor="ctr" anchorCtr="0">
            <a:noAutofit/>
          </a:bodyPr>
          <a:lstStyle/>
          <a:p>
            <a:pPr lvl="0" algn="ctr" defTabSz="6667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050" kern="1200"/>
              <a:t>Изберете форма на отчета:</a:t>
            </a:r>
            <a:endParaRPr lang="en-US" sz="1050" kern="1200"/>
          </a:p>
        </xdr:txBody>
      </xdr:sp>
      <xdr:sp macro="[0]!OPP_Sykraten" textlink="">
        <xdr:nvSpPr>
          <xdr:cNvPr id="7" name="Freeform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2011023" y="1816608"/>
            <a:ext cx="2257425" cy="376809"/>
          </a:xfrm>
          <a:custGeom>
            <a:avLst/>
            <a:gdLst>
              <a:gd name="connsiteX0" fmla="*/ 0 w 2257425"/>
              <a:gd name="connsiteY0" fmla="*/ 0 h 376809"/>
              <a:gd name="connsiteX1" fmla="*/ 2257425 w 2257425"/>
              <a:gd name="connsiteY1" fmla="*/ 0 h 376809"/>
              <a:gd name="connsiteX2" fmla="*/ 2257425 w 2257425"/>
              <a:gd name="connsiteY2" fmla="*/ 376809 h 376809"/>
              <a:gd name="connsiteX3" fmla="*/ 0 w 2257425"/>
              <a:gd name="connsiteY3" fmla="*/ 376809 h 376809"/>
              <a:gd name="connsiteX4" fmla="*/ 0 w 2257425"/>
              <a:gd name="connsiteY4" fmla="*/ 0 h 3768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57425" h="376809">
                <a:moveTo>
                  <a:pt x="0" y="0"/>
                </a:moveTo>
                <a:lnTo>
                  <a:pt x="2257425" y="0"/>
                </a:lnTo>
                <a:lnTo>
                  <a:pt x="2257425" y="376809"/>
                </a:lnTo>
                <a:lnTo>
                  <a:pt x="0" y="376809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142240" tIns="25400" rIns="142240" bIns="25400" numCol="1" spcCol="1270" anchor="ctr" anchorCtr="0">
            <a:noAutofit/>
          </a:bodyPr>
          <a:lstStyle/>
          <a:p>
            <a:pPr lvl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200" kern="1200"/>
              <a:t>Съкратена-</a:t>
            </a:r>
            <a:r>
              <a:rPr lang="bg-BG" sz="1200" kern="1200" baseline="0"/>
              <a:t> без нулеви статии</a:t>
            </a:r>
            <a:endParaRPr lang="en-US" sz="1200" kern="1200"/>
          </a:p>
        </xdr:txBody>
      </xdr:sp>
      <xdr:sp macro="[0]!OPP_Pylen" textlink="">
        <xdr:nvSpPr>
          <xdr:cNvPr id="8" name="Freeform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14268449" y="1816608"/>
            <a:ext cx="2257425" cy="376809"/>
          </a:xfrm>
          <a:custGeom>
            <a:avLst/>
            <a:gdLst>
              <a:gd name="connsiteX0" fmla="*/ 0 w 2257425"/>
              <a:gd name="connsiteY0" fmla="*/ 0 h 376809"/>
              <a:gd name="connsiteX1" fmla="*/ 2257425 w 2257425"/>
              <a:gd name="connsiteY1" fmla="*/ 0 h 376809"/>
              <a:gd name="connsiteX2" fmla="*/ 2257425 w 2257425"/>
              <a:gd name="connsiteY2" fmla="*/ 376809 h 376809"/>
              <a:gd name="connsiteX3" fmla="*/ 0 w 2257425"/>
              <a:gd name="connsiteY3" fmla="*/ 376809 h 376809"/>
              <a:gd name="connsiteX4" fmla="*/ 0 w 2257425"/>
              <a:gd name="connsiteY4" fmla="*/ 0 h 3768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57425" h="376809">
                <a:moveTo>
                  <a:pt x="0" y="0"/>
                </a:moveTo>
                <a:lnTo>
                  <a:pt x="2257425" y="0"/>
                </a:lnTo>
                <a:lnTo>
                  <a:pt x="2257425" y="376809"/>
                </a:lnTo>
                <a:lnTo>
                  <a:pt x="0" y="376809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142240" tIns="25400" rIns="142240" bIns="25400" numCol="1" spcCol="1270" anchor="ctr" anchorCtr="0">
            <a:noAutofit/>
          </a:bodyPr>
          <a:lstStyle/>
          <a:p>
            <a:pPr lvl="0" algn="ctr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200" kern="1200"/>
              <a:t>Пълна форма</a:t>
            </a:r>
            <a:endParaRPr lang="en-US" sz="1200" kern="12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</xdr:rowOff>
    </xdr:from>
    <xdr:to>
      <xdr:col>0</xdr:col>
      <xdr:colOff>1581150</xdr:colOff>
      <xdr:row>0</xdr:row>
      <xdr:rowOff>95250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2"/>
          <a:ext cx="1581150" cy="9524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900"/>
            <a:t>Обратно към съдържанието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14</xdr:col>
      <xdr:colOff>457200</xdr:colOff>
      <xdr:row>5</xdr:row>
      <xdr:rowOff>9525</xdr:rowOff>
    </xdr:to>
    <xdr:sp macro="[0]!fixprint_OS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372850" y="0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16</xdr:col>
      <xdr:colOff>114300</xdr:colOff>
      <xdr:row>5</xdr:row>
      <xdr:rowOff>42864</xdr:rowOff>
    </xdr:from>
    <xdr:to>
      <xdr:col>23</xdr:col>
      <xdr:colOff>247650</xdr:colOff>
      <xdr:row>11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4279880" y="690564"/>
          <a:ext cx="4507230" cy="886776"/>
          <a:chOff x="12334875" y="747714"/>
          <a:chExt cx="3143250" cy="881061"/>
        </a:xfrm>
      </xdr:grpSpPr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12334875" y="747714"/>
            <a:ext cx="3143250" cy="881061"/>
          </a:xfrm>
          <a:custGeom>
            <a:avLst/>
            <a:gdLst>
              <a:gd name="connsiteX0" fmla="*/ 0 w 3143250"/>
              <a:gd name="connsiteY0" fmla="*/ 0 h 881061"/>
              <a:gd name="connsiteX1" fmla="*/ 3143250 w 3143250"/>
              <a:gd name="connsiteY1" fmla="*/ 0 h 881061"/>
              <a:gd name="connsiteX2" fmla="*/ 3143250 w 3143250"/>
              <a:gd name="connsiteY2" fmla="*/ 881061 h 881061"/>
              <a:gd name="connsiteX3" fmla="*/ 0 w 3143250"/>
              <a:gd name="connsiteY3" fmla="*/ 881061 h 881061"/>
              <a:gd name="connsiteX4" fmla="*/ 0 w 3143250"/>
              <a:gd name="connsiteY4" fmla="*/ 0 h 8810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143250" h="881061">
                <a:moveTo>
                  <a:pt x="0" y="0"/>
                </a:moveTo>
                <a:lnTo>
                  <a:pt x="3143250" y="0"/>
                </a:lnTo>
                <a:lnTo>
                  <a:pt x="3143250" y="881061"/>
                </a:lnTo>
                <a:lnTo>
                  <a:pt x="0" y="881061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13792" tIns="113792" rIns="113792" bIns="519081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900" kern="1200"/>
              <a:t>Изберете форма на отчета:</a:t>
            </a:r>
            <a:endParaRPr lang="en-US" sz="900" kern="1200"/>
          </a:p>
        </xdr:txBody>
      </xdr:sp>
      <xdr:sp macro="[0]!ОСК_Съкратен" textlink="">
        <xdr:nvSpPr>
          <xdr:cNvPr id="7" name="Freeform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2334875" y="1205865"/>
            <a:ext cx="1571625" cy="405288"/>
          </a:xfrm>
          <a:custGeom>
            <a:avLst/>
            <a:gdLst>
              <a:gd name="connsiteX0" fmla="*/ 0 w 1571625"/>
              <a:gd name="connsiteY0" fmla="*/ 0 h 405288"/>
              <a:gd name="connsiteX1" fmla="*/ 1571625 w 1571625"/>
              <a:gd name="connsiteY1" fmla="*/ 0 h 405288"/>
              <a:gd name="connsiteX2" fmla="*/ 1571625 w 1571625"/>
              <a:gd name="connsiteY2" fmla="*/ 405288 h 405288"/>
              <a:gd name="connsiteX3" fmla="*/ 0 w 1571625"/>
              <a:gd name="connsiteY3" fmla="*/ 405288 h 405288"/>
              <a:gd name="connsiteX4" fmla="*/ 0 w 1571625"/>
              <a:gd name="connsiteY4" fmla="*/ 0 h 4052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71625" h="405288">
                <a:moveTo>
                  <a:pt x="0" y="0"/>
                </a:moveTo>
                <a:lnTo>
                  <a:pt x="1571625" y="0"/>
                </a:lnTo>
                <a:lnTo>
                  <a:pt x="1571625" y="405288"/>
                </a:lnTo>
                <a:lnTo>
                  <a:pt x="0" y="405288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156464" tIns="27940" rIns="156464" bIns="27940" numCol="1" spcCol="1270" anchor="ctr" anchorCtr="0">
            <a:noAutofit/>
          </a:bodyPr>
          <a:lstStyle/>
          <a:p>
            <a:pPr lvl="0" algn="ctr" defTabSz="9779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100" kern="1200"/>
              <a:t>Съкратена- без нулеви статии</a:t>
            </a:r>
            <a:endParaRPr lang="en-US" sz="1100" kern="1200"/>
          </a:p>
        </xdr:txBody>
      </xdr:sp>
      <xdr:sp macro="[0]!ОСК_Пълен" textlink="">
        <xdr:nvSpPr>
          <xdr:cNvPr id="8" name="Freeform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3906500" y="1205865"/>
            <a:ext cx="1571625" cy="405288"/>
          </a:xfrm>
          <a:custGeom>
            <a:avLst/>
            <a:gdLst>
              <a:gd name="connsiteX0" fmla="*/ 0 w 1571625"/>
              <a:gd name="connsiteY0" fmla="*/ 0 h 405288"/>
              <a:gd name="connsiteX1" fmla="*/ 1571625 w 1571625"/>
              <a:gd name="connsiteY1" fmla="*/ 0 h 405288"/>
              <a:gd name="connsiteX2" fmla="*/ 1571625 w 1571625"/>
              <a:gd name="connsiteY2" fmla="*/ 405288 h 405288"/>
              <a:gd name="connsiteX3" fmla="*/ 0 w 1571625"/>
              <a:gd name="connsiteY3" fmla="*/ 405288 h 405288"/>
              <a:gd name="connsiteX4" fmla="*/ 0 w 1571625"/>
              <a:gd name="connsiteY4" fmla="*/ 0 h 4052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571625" h="405288">
                <a:moveTo>
                  <a:pt x="0" y="0"/>
                </a:moveTo>
                <a:lnTo>
                  <a:pt x="1571625" y="0"/>
                </a:lnTo>
                <a:lnTo>
                  <a:pt x="1571625" y="405288"/>
                </a:lnTo>
                <a:lnTo>
                  <a:pt x="0" y="405288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156464" tIns="27940" rIns="156464" bIns="27940" numCol="1" spcCol="1270" anchor="ctr" anchorCtr="0">
            <a:noAutofit/>
          </a:bodyPr>
          <a:lstStyle/>
          <a:p>
            <a:pPr lvl="0" algn="ctr" defTabSz="9779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100" kern="1200"/>
              <a:t>Пълна</a:t>
            </a:r>
            <a:endParaRPr lang="en-US" sz="1100" kern="12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2133600</xdr:colOff>
      <xdr:row>0</xdr:row>
      <xdr:rowOff>95251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1"/>
          <a:ext cx="2133600" cy="95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0</xdr:col>
      <xdr:colOff>0</xdr:colOff>
      <xdr:row>48</xdr:row>
      <xdr:rowOff>0</xdr:rowOff>
    </xdr:from>
    <xdr:to>
      <xdr:col>0</xdr:col>
      <xdr:colOff>1066800</xdr:colOff>
      <xdr:row>53</xdr:row>
      <xdr:rowOff>9525</xdr:rowOff>
    </xdr:to>
    <xdr:sp macro="[0]!fixprint_D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7762875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0</xdr:col>
      <xdr:colOff>2581276</xdr:colOff>
      <xdr:row>49</xdr:row>
      <xdr:rowOff>1</xdr:rowOff>
    </xdr:from>
    <xdr:to>
      <xdr:col>5</xdr:col>
      <xdr:colOff>333374</xdr:colOff>
      <xdr:row>55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581276" y="5094515"/>
          <a:ext cx="4370612" cy="831396"/>
          <a:chOff x="2581276" y="4791076"/>
          <a:chExt cx="3933823" cy="847724"/>
        </a:xfrm>
      </xdr:grpSpPr>
      <xdr:sp macro="" textlink="">
        <xdr:nvSpPr>
          <xdr:cNvPr id="11" name="Freeform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2581276" y="4791076"/>
            <a:ext cx="3933823" cy="847724"/>
          </a:xfrm>
          <a:custGeom>
            <a:avLst/>
            <a:gdLst>
              <a:gd name="connsiteX0" fmla="*/ 0 w 3933823"/>
              <a:gd name="connsiteY0" fmla="*/ 0 h 847724"/>
              <a:gd name="connsiteX1" fmla="*/ 3933823 w 3933823"/>
              <a:gd name="connsiteY1" fmla="*/ 0 h 847724"/>
              <a:gd name="connsiteX2" fmla="*/ 3933823 w 3933823"/>
              <a:gd name="connsiteY2" fmla="*/ 847724 h 847724"/>
              <a:gd name="connsiteX3" fmla="*/ 0 w 3933823"/>
              <a:gd name="connsiteY3" fmla="*/ 847724 h 847724"/>
              <a:gd name="connsiteX4" fmla="*/ 0 w 3933823"/>
              <a:gd name="connsiteY4" fmla="*/ 0 h 8477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933823" h="847724">
                <a:moveTo>
                  <a:pt x="0" y="0"/>
                </a:moveTo>
                <a:lnTo>
                  <a:pt x="3933823" y="0"/>
                </a:lnTo>
                <a:lnTo>
                  <a:pt x="3933823" y="847724"/>
                </a:lnTo>
                <a:lnTo>
                  <a:pt x="0" y="847724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78232" tIns="78232" rIns="78232" bIns="468186" numCol="1" spcCol="1270" anchor="ctr" anchorCtr="0">
            <a:noAutofit/>
          </a:bodyPr>
          <a:lstStyle/>
          <a:p>
            <a:pPr lvl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100" kern="1200"/>
              <a:t>Изберете форма наотчета:</a:t>
            </a:r>
            <a:endParaRPr lang="en-US" sz="1100" kern="1200"/>
          </a:p>
        </xdr:txBody>
      </xdr:sp>
      <xdr:sp macro="[0]!ДА_Съкратена" textlink="">
        <xdr:nvSpPr>
          <xdr:cNvPr id="12" name="Freeform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2581276" y="5231892"/>
            <a:ext cx="1966911" cy="389953"/>
          </a:xfrm>
          <a:custGeom>
            <a:avLst/>
            <a:gdLst>
              <a:gd name="connsiteX0" fmla="*/ 0 w 1966911"/>
              <a:gd name="connsiteY0" fmla="*/ 0 h 389953"/>
              <a:gd name="connsiteX1" fmla="*/ 1966911 w 1966911"/>
              <a:gd name="connsiteY1" fmla="*/ 0 h 389953"/>
              <a:gd name="connsiteX2" fmla="*/ 1966911 w 1966911"/>
              <a:gd name="connsiteY2" fmla="*/ 389953 h 389953"/>
              <a:gd name="connsiteX3" fmla="*/ 0 w 1966911"/>
              <a:gd name="connsiteY3" fmla="*/ 389953 h 389953"/>
              <a:gd name="connsiteX4" fmla="*/ 0 w 1966911"/>
              <a:gd name="connsiteY4" fmla="*/ 0 h 3899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966911" h="389953">
                <a:moveTo>
                  <a:pt x="0" y="0"/>
                </a:moveTo>
                <a:lnTo>
                  <a:pt x="1966911" y="0"/>
                </a:lnTo>
                <a:lnTo>
                  <a:pt x="1966911" y="389953"/>
                </a:lnTo>
                <a:lnTo>
                  <a:pt x="0" y="389953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13970" rIns="78232" bIns="13970" numCol="1" spcCol="1270" anchor="ctr" anchorCtr="0">
            <a:noAutofit/>
          </a:bodyPr>
          <a:lstStyle/>
          <a:p>
            <a:pPr lvl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100" kern="1200"/>
              <a:t>Съкратена- без нулеви статии</a:t>
            </a:r>
            <a:endParaRPr lang="en-US" sz="1100" kern="1200"/>
          </a:p>
        </xdr:txBody>
      </xdr:sp>
      <xdr:sp macro="[0]!ДА_Пълна" textlink="">
        <xdr:nvSpPr>
          <xdr:cNvPr id="13" name="Freeform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4548187" y="5231892"/>
            <a:ext cx="1966911" cy="389953"/>
          </a:xfrm>
          <a:custGeom>
            <a:avLst/>
            <a:gdLst>
              <a:gd name="connsiteX0" fmla="*/ 0 w 1966911"/>
              <a:gd name="connsiteY0" fmla="*/ 0 h 389953"/>
              <a:gd name="connsiteX1" fmla="*/ 1966911 w 1966911"/>
              <a:gd name="connsiteY1" fmla="*/ 0 h 389953"/>
              <a:gd name="connsiteX2" fmla="*/ 1966911 w 1966911"/>
              <a:gd name="connsiteY2" fmla="*/ 389953 h 389953"/>
              <a:gd name="connsiteX3" fmla="*/ 0 w 1966911"/>
              <a:gd name="connsiteY3" fmla="*/ 389953 h 389953"/>
              <a:gd name="connsiteX4" fmla="*/ 0 w 1966911"/>
              <a:gd name="connsiteY4" fmla="*/ 0 h 3899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966911" h="389953">
                <a:moveTo>
                  <a:pt x="0" y="0"/>
                </a:moveTo>
                <a:lnTo>
                  <a:pt x="1966911" y="0"/>
                </a:lnTo>
                <a:lnTo>
                  <a:pt x="1966911" y="389953"/>
                </a:lnTo>
                <a:lnTo>
                  <a:pt x="0" y="389953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13970" rIns="78232" bIns="13970" numCol="1" spcCol="1270" anchor="ctr" anchorCtr="0">
            <a:noAutofit/>
          </a:bodyPr>
          <a:lstStyle/>
          <a:p>
            <a:pPr lvl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bg-BG" sz="1100" kern="1200"/>
              <a:t>Пълна</a:t>
            </a:r>
            <a:endParaRPr lang="en-US" sz="1100" kern="12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2038350</xdr:colOff>
      <xdr:row>0</xdr:row>
      <xdr:rowOff>161925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2038350" cy="1619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457200</xdr:colOff>
      <xdr:row>4</xdr:row>
      <xdr:rowOff>19050</xdr:rowOff>
    </xdr:to>
    <xdr:sp macro="[0]!fixprint_OPR_stotinki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3954125" y="200025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0</xdr:col>
      <xdr:colOff>2038350</xdr:colOff>
      <xdr:row>0</xdr:row>
      <xdr:rowOff>152401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0" y="1"/>
          <a:ext cx="2038350" cy="152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457200</xdr:colOff>
      <xdr:row>4</xdr:row>
      <xdr:rowOff>19050</xdr:rowOff>
    </xdr:to>
    <xdr:sp macro="[0]!Module20.fixprint_OPR_stotinki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0944225" y="200025"/>
          <a:ext cx="106680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bg-BG" sz="1100"/>
            <a:t>Автоматично форматиране за печат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1847849</xdr:colOff>
      <xdr:row>0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09600" y="0"/>
          <a:ext cx="2105024" cy="1428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/>
            <a:t>Обратно към съдържанието</a:t>
          </a:r>
        </a:p>
      </xdr:txBody>
    </xdr:sp>
    <xdr:clientData/>
  </xdr:twoCellAnchor>
  <xdr:twoCellAnchor>
    <xdr:from>
      <xdr:col>12</xdr:col>
      <xdr:colOff>600075</xdr:colOff>
      <xdr:row>7</xdr:row>
      <xdr:rowOff>85844</xdr:rowOff>
    </xdr:from>
    <xdr:to>
      <xdr:col>16</xdr:col>
      <xdr:colOff>609599</xdr:colOff>
      <xdr:row>8</xdr:row>
      <xdr:rowOff>180974</xdr:rowOff>
    </xdr:to>
    <xdr:sp macro="[0]!ОПР_ЕднострФорма_празен" textlink="">
      <xdr:nvSpPr>
        <xdr:cNvPr id="5" name="Freefor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8705850" y="1495544"/>
          <a:ext cx="2447924" cy="285630"/>
        </a:xfrm>
        <a:custGeom>
          <a:avLst/>
          <a:gdLst>
            <a:gd name="connsiteX0" fmla="*/ 0 w 1800224"/>
            <a:gd name="connsiteY0" fmla="*/ 0 h 369186"/>
            <a:gd name="connsiteX1" fmla="*/ 1800224 w 1800224"/>
            <a:gd name="connsiteY1" fmla="*/ 0 h 369186"/>
            <a:gd name="connsiteX2" fmla="*/ 1800224 w 1800224"/>
            <a:gd name="connsiteY2" fmla="*/ 369186 h 369186"/>
            <a:gd name="connsiteX3" fmla="*/ 0 w 1800224"/>
            <a:gd name="connsiteY3" fmla="*/ 369186 h 369186"/>
            <a:gd name="connsiteX4" fmla="*/ 0 w 1800224"/>
            <a:gd name="connsiteY4" fmla="*/ 0 h 3691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800224" h="369186">
              <a:moveTo>
                <a:pt x="0" y="0"/>
              </a:moveTo>
              <a:lnTo>
                <a:pt x="1800224" y="0"/>
              </a:lnTo>
              <a:lnTo>
                <a:pt x="1800224" y="369186"/>
              </a:lnTo>
              <a:lnTo>
                <a:pt x="0" y="369186"/>
              </a:lnTo>
              <a:lnTo>
                <a:pt x="0" y="0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71120" tIns="71120" rIns="71120" bIns="71120" numCol="1" spcCol="1270" anchor="ctr" anchorCtr="0">
          <a:noAutofit/>
        </a:bodyPr>
        <a:lstStyle/>
        <a:p>
          <a:pPr lvl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000" kern="1200">
              <a:solidFill>
                <a:sysClr val="windowText" lastClr="000000"/>
              </a:solidFill>
            </a:rPr>
            <a:t>Празен отчет</a:t>
          </a:r>
        </a:p>
      </xdr:txBody>
    </xdr:sp>
    <xdr:clientData/>
  </xdr:twoCellAnchor>
  <xdr:twoCellAnchor>
    <xdr:from>
      <xdr:col>12</xdr:col>
      <xdr:colOff>600075</xdr:colOff>
      <xdr:row>5</xdr:row>
      <xdr:rowOff>60404</xdr:rowOff>
    </xdr:from>
    <xdr:to>
      <xdr:col>17</xdr:col>
      <xdr:colOff>0</xdr:colOff>
      <xdr:row>7</xdr:row>
      <xdr:rowOff>90129</xdr:rowOff>
    </xdr:to>
    <xdr:sp macro="[0]!ОПР_ЕднострФорма_пълен" textlink="">
      <xdr:nvSpPr>
        <xdr:cNvPr id="6" name="Freefor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8705850" y="1060529"/>
          <a:ext cx="2447925" cy="439300"/>
        </a:xfrm>
        <a:custGeom>
          <a:avLst/>
          <a:gdLst>
            <a:gd name="connsiteX0" fmla="*/ 0 w 1800224"/>
            <a:gd name="connsiteY0" fmla="*/ 198864 h 567809"/>
            <a:gd name="connsiteX1" fmla="*/ 829136 w 1800224"/>
            <a:gd name="connsiteY1" fmla="*/ 198864 h 567809"/>
            <a:gd name="connsiteX2" fmla="*/ 829136 w 1800224"/>
            <a:gd name="connsiteY2" fmla="*/ 141952 h 567809"/>
            <a:gd name="connsiteX3" fmla="*/ 758160 w 1800224"/>
            <a:gd name="connsiteY3" fmla="*/ 141952 h 567809"/>
            <a:gd name="connsiteX4" fmla="*/ 900112 w 1800224"/>
            <a:gd name="connsiteY4" fmla="*/ 0 h 567809"/>
            <a:gd name="connsiteX5" fmla="*/ 1042064 w 1800224"/>
            <a:gd name="connsiteY5" fmla="*/ 141952 h 567809"/>
            <a:gd name="connsiteX6" fmla="*/ 971088 w 1800224"/>
            <a:gd name="connsiteY6" fmla="*/ 141952 h 567809"/>
            <a:gd name="connsiteX7" fmla="*/ 971088 w 1800224"/>
            <a:gd name="connsiteY7" fmla="*/ 198864 h 567809"/>
            <a:gd name="connsiteX8" fmla="*/ 1800224 w 1800224"/>
            <a:gd name="connsiteY8" fmla="*/ 198864 h 567809"/>
            <a:gd name="connsiteX9" fmla="*/ 1800224 w 1800224"/>
            <a:gd name="connsiteY9" fmla="*/ 567809 h 567809"/>
            <a:gd name="connsiteX10" fmla="*/ 0 w 1800224"/>
            <a:gd name="connsiteY10" fmla="*/ 567809 h 567809"/>
            <a:gd name="connsiteX11" fmla="*/ 0 w 1800224"/>
            <a:gd name="connsiteY11" fmla="*/ 198864 h 5678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800224" h="567809">
              <a:moveTo>
                <a:pt x="1800224" y="368945"/>
              </a:moveTo>
              <a:lnTo>
                <a:pt x="971088" y="368945"/>
              </a:lnTo>
              <a:lnTo>
                <a:pt x="971088" y="425857"/>
              </a:lnTo>
              <a:lnTo>
                <a:pt x="1042064" y="425857"/>
              </a:lnTo>
              <a:lnTo>
                <a:pt x="900112" y="567808"/>
              </a:lnTo>
              <a:lnTo>
                <a:pt x="758160" y="425857"/>
              </a:lnTo>
              <a:lnTo>
                <a:pt x="829136" y="425857"/>
              </a:lnTo>
              <a:lnTo>
                <a:pt x="829136" y="368945"/>
              </a:lnTo>
              <a:lnTo>
                <a:pt x="0" y="368945"/>
              </a:lnTo>
              <a:lnTo>
                <a:pt x="0" y="1"/>
              </a:lnTo>
              <a:lnTo>
                <a:pt x="1800224" y="1"/>
              </a:lnTo>
              <a:lnTo>
                <a:pt x="1800224" y="368945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71119" tIns="71121" rIns="71121" bIns="269984" numCol="1" spcCol="1270" anchor="ctr" anchorCtr="0">
          <a:noAutofit/>
        </a:bodyPr>
        <a:lstStyle/>
        <a:p>
          <a:pPr lvl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000" kern="1200">
              <a:solidFill>
                <a:sysClr val="windowText" lastClr="000000"/>
              </a:solidFill>
            </a:rPr>
            <a:t>Пълна</a:t>
          </a:r>
        </a:p>
      </xdr:txBody>
    </xdr:sp>
    <xdr:clientData/>
  </xdr:twoCellAnchor>
  <xdr:twoCellAnchor>
    <xdr:from>
      <xdr:col>12</xdr:col>
      <xdr:colOff>600075</xdr:colOff>
      <xdr:row>3</xdr:row>
      <xdr:rowOff>25439</xdr:rowOff>
    </xdr:from>
    <xdr:to>
      <xdr:col>17</xdr:col>
      <xdr:colOff>0</xdr:colOff>
      <xdr:row>5</xdr:row>
      <xdr:rowOff>64689</xdr:rowOff>
    </xdr:to>
    <xdr:sp macro="[0]!ОПР_ЕднострФорма_съкратен" textlink="">
      <xdr:nvSpPr>
        <xdr:cNvPr id="7" name="Freeform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8705850" y="625514"/>
          <a:ext cx="2447925" cy="439300"/>
        </a:xfrm>
        <a:custGeom>
          <a:avLst/>
          <a:gdLst>
            <a:gd name="connsiteX0" fmla="*/ 0 w 1800224"/>
            <a:gd name="connsiteY0" fmla="*/ 198864 h 567809"/>
            <a:gd name="connsiteX1" fmla="*/ 829136 w 1800224"/>
            <a:gd name="connsiteY1" fmla="*/ 198864 h 567809"/>
            <a:gd name="connsiteX2" fmla="*/ 829136 w 1800224"/>
            <a:gd name="connsiteY2" fmla="*/ 141952 h 567809"/>
            <a:gd name="connsiteX3" fmla="*/ 758160 w 1800224"/>
            <a:gd name="connsiteY3" fmla="*/ 141952 h 567809"/>
            <a:gd name="connsiteX4" fmla="*/ 900112 w 1800224"/>
            <a:gd name="connsiteY4" fmla="*/ 0 h 567809"/>
            <a:gd name="connsiteX5" fmla="*/ 1042064 w 1800224"/>
            <a:gd name="connsiteY5" fmla="*/ 141952 h 567809"/>
            <a:gd name="connsiteX6" fmla="*/ 971088 w 1800224"/>
            <a:gd name="connsiteY6" fmla="*/ 141952 h 567809"/>
            <a:gd name="connsiteX7" fmla="*/ 971088 w 1800224"/>
            <a:gd name="connsiteY7" fmla="*/ 198864 h 567809"/>
            <a:gd name="connsiteX8" fmla="*/ 1800224 w 1800224"/>
            <a:gd name="connsiteY8" fmla="*/ 198864 h 567809"/>
            <a:gd name="connsiteX9" fmla="*/ 1800224 w 1800224"/>
            <a:gd name="connsiteY9" fmla="*/ 567809 h 567809"/>
            <a:gd name="connsiteX10" fmla="*/ 0 w 1800224"/>
            <a:gd name="connsiteY10" fmla="*/ 567809 h 567809"/>
            <a:gd name="connsiteX11" fmla="*/ 0 w 1800224"/>
            <a:gd name="connsiteY11" fmla="*/ 198864 h 5678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800224" h="567809">
              <a:moveTo>
                <a:pt x="1800224" y="368945"/>
              </a:moveTo>
              <a:lnTo>
                <a:pt x="971088" y="368945"/>
              </a:lnTo>
              <a:lnTo>
                <a:pt x="971088" y="425857"/>
              </a:lnTo>
              <a:lnTo>
                <a:pt x="1042064" y="425857"/>
              </a:lnTo>
              <a:lnTo>
                <a:pt x="900112" y="567808"/>
              </a:lnTo>
              <a:lnTo>
                <a:pt x="758160" y="425857"/>
              </a:lnTo>
              <a:lnTo>
                <a:pt x="829136" y="425857"/>
              </a:lnTo>
              <a:lnTo>
                <a:pt x="829136" y="368945"/>
              </a:lnTo>
              <a:lnTo>
                <a:pt x="0" y="368945"/>
              </a:lnTo>
              <a:lnTo>
                <a:pt x="0" y="1"/>
              </a:lnTo>
              <a:lnTo>
                <a:pt x="1800224" y="1"/>
              </a:lnTo>
              <a:lnTo>
                <a:pt x="1800224" y="368945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71119" tIns="71121" rIns="71121" bIns="269984" numCol="1" spcCol="1270" anchor="ctr" anchorCtr="0">
          <a:noAutofit/>
        </a:bodyPr>
        <a:lstStyle/>
        <a:p>
          <a:pPr lvl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000" kern="1200">
              <a:solidFill>
                <a:sysClr val="windowText" lastClr="000000"/>
              </a:solidFill>
            </a:rPr>
            <a:t>Съкратена, без нулеви статии</a:t>
          </a:r>
        </a:p>
      </xdr:txBody>
    </xdr:sp>
    <xdr:clientData/>
  </xdr:twoCellAnchor>
  <xdr:twoCellAnchor>
    <xdr:from>
      <xdr:col>12</xdr:col>
      <xdr:colOff>600075</xdr:colOff>
      <xdr:row>0</xdr:row>
      <xdr:rowOff>190499</xdr:rowOff>
    </xdr:from>
    <xdr:to>
      <xdr:col>16</xdr:col>
      <xdr:colOff>609599</xdr:colOff>
      <xdr:row>3</xdr:row>
      <xdr:rowOff>29725</xdr:rowOff>
    </xdr:to>
    <xdr:sp macro="" textlink="">
      <xdr:nvSpPr>
        <xdr:cNvPr id="8" name="Freeform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8705850" y="190499"/>
          <a:ext cx="2447924" cy="439301"/>
        </a:xfrm>
        <a:custGeom>
          <a:avLst/>
          <a:gdLst>
            <a:gd name="connsiteX0" fmla="*/ 0 w 1800224"/>
            <a:gd name="connsiteY0" fmla="*/ 198864 h 567809"/>
            <a:gd name="connsiteX1" fmla="*/ 829136 w 1800224"/>
            <a:gd name="connsiteY1" fmla="*/ 198864 h 567809"/>
            <a:gd name="connsiteX2" fmla="*/ 829136 w 1800224"/>
            <a:gd name="connsiteY2" fmla="*/ 141952 h 567809"/>
            <a:gd name="connsiteX3" fmla="*/ 758160 w 1800224"/>
            <a:gd name="connsiteY3" fmla="*/ 141952 h 567809"/>
            <a:gd name="connsiteX4" fmla="*/ 900112 w 1800224"/>
            <a:gd name="connsiteY4" fmla="*/ 0 h 567809"/>
            <a:gd name="connsiteX5" fmla="*/ 1042064 w 1800224"/>
            <a:gd name="connsiteY5" fmla="*/ 141952 h 567809"/>
            <a:gd name="connsiteX6" fmla="*/ 971088 w 1800224"/>
            <a:gd name="connsiteY6" fmla="*/ 141952 h 567809"/>
            <a:gd name="connsiteX7" fmla="*/ 971088 w 1800224"/>
            <a:gd name="connsiteY7" fmla="*/ 198864 h 567809"/>
            <a:gd name="connsiteX8" fmla="*/ 1800224 w 1800224"/>
            <a:gd name="connsiteY8" fmla="*/ 198864 h 567809"/>
            <a:gd name="connsiteX9" fmla="*/ 1800224 w 1800224"/>
            <a:gd name="connsiteY9" fmla="*/ 567809 h 567809"/>
            <a:gd name="connsiteX10" fmla="*/ 0 w 1800224"/>
            <a:gd name="connsiteY10" fmla="*/ 567809 h 567809"/>
            <a:gd name="connsiteX11" fmla="*/ 0 w 1800224"/>
            <a:gd name="connsiteY11" fmla="*/ 198864 h 5678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800224" h="567809">
              <a:moveTo>
                <a:pt x="1800224" y="368945"/>
              </a:moveTo>
              <a:lnTo>
                <a:pt x="971088" y="368945"/>
              </a:lnTo>
              <a:lnTo>
                <a:pt x="971088" y="425857"/>
              </a:lnTo>
              <a:lnTo>
                <a:pt x="1042064" y="425857"/>
              </a:lnTo>
              <a:lnTo>
                <a:pt x="900112" y="567808"/>
              </a:lnTo>
              <a:lnTo>
                <a:pt x="758160" y="425857"/>
              </a:lnTo>
              <a:lnTo>
                <a:pt x="829136" y="425857"/>
              </a:lnTo>
              <a:lnTo>
                <a:pt x="829136" y="368945"/>
              </a:lnTo>
              <a:lnTo>
                <a:pt x="0" y="368945"/>
              </a:lnTo>
              <a:lnTo>
                <a:pt x="0" y="1"/>
              </a:lnTo>
              <a:lnTo>
                <a:pt x="1800224" y="1"/>
              </a:lnTo>
              <a:lnTo>
                <a:pt x="1800224" y="368945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71120" tIns="71121" rIns="71120" bIns="269985" numCol="1" spcCol="1270" anchor="ctr" anchorCtr="0">
          <a:noAutofit/>
        </a:bodyPr>
        <a:lstStyle/>
        <a:p>
          <a:pPr lvl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bg-BG" sz="1000" kern="1200"/>
            <a:t>Изберете форма на отчета:</a:t>
          </a:r>
        </a:p>
      </xdr:txBody>
    </xdr:sp>
    <xdr:clientData/>
  </xdr:twoCellAnchor>
  <xdr:twoCellAnchor>
    <xdr:from>
      <xdr:col>10</xdr:col>
      <xdr:colOff>38100</xdr:colOff>
      <xdr:row>1</xdr:row>
      <xdr:rowOff>66675</xdr:rowOff>
    </xdr:from>
    <xdr:to>
      <xdr:col>12</xdr:col>
      <xdr:colOff>161925</xdr:colOff>
      <xdr:row>4</xdr:row>
      <xdr:rowOff>171450</xdr:rowOff>
    </xdr:to>
    <xdr:sp macro="[0]!fixprint_OPR_Sykraten_ednostrannaform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6924675" y="266700"/>
          <a:ext cx="1343025" cy="704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latin typeface="Franklin Gothic Book" panose="020B0503020102020204" pitchFamily="34" charset="0"/>
            </a:rPr>
            <a:t>Автоматичн</a:t>
          </a:r>
          <a:r>
            <a:rPr lang="bg-BG" sz="1100" baseline="0">
              <a:latin typeface="Franklin Gothic Book" panose="020B0503020102020204" pitchFamily="34" charset="0"/>
            </a:rPr>
            <a:t>о форматиране при печат</a:t>
          </a:r>
          <a:endParaRPr lang="bg-BG" sz="1100">
            <a:latin typeface="Franklin Gothic Book" panose="020B0503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6"/>
  <sheetViews>
    <sheetView showGridLines="0" zoomScaleNormal="100" workbookViewId="0">
      <selection activeCell="E22" sqref="E22"/>
    </sheetView>
  </sheetViews>
  <sheetFormatPr defaultRowHeight="14.4" x14ac:dyDescent="0.3"/>
  <cols>
    <col min="1" max="1" width="4.88671875" customWidth="1"/>
    <col min="2" max="2" width="46.88671875" customWidth="1"/>
    <col min="3" max="3" width="75.33203125" customWidth="1"/>
  </cols>
  <sheetData>
    <row r="1" spans="1:6" ht="15" customHeight="1" x14ac:dyDescent="0.3">
      <c r="A1" s="392" t="s">
        <v>330</v>
      </c>
      <c r="B1" s="392"/>
      <c r="C1" s="392"/>
      <c r="D1" s="93"/>
      <c r="E1" s="93"/>
      <c r="F1" s="93"/>
    </row>
    <row r="2" spans="1:6" ht="15" customHeight="1" x14ac:dyDescent="0.3">
      <c r="A2" s="389" t="s">
        <v>331</v>
      </c>
      <c r="B2" s="389"/>
      <c r="C2" s="389"/>
      <c r="D2" s="93"/>
      <c r="E2" s="93"/>
      <c r="F2" s="93"/>
    </row>
    <row r="3" spans="1:6" x14ac:dyDescent="0.3">
      <c r="A3" s="389" t="s">
        <v>282</v>
      </c>
      <c r="B3" s="389"/>
      <c r="C3" s="389"/>
    </row>
    <row r="4" spans="1:6" x14ac:dyDescent="0.3">
      <c r="A4" s="390" t="s">
        <v>286</v>
      </c>
      <c r="B4" s="390"/>
      <c r="C4" s="390"/>
    </row>
    <row r="5" spans="1:6" ht="15" thickBot="1" x14ac:dyDescent="0.35">
      <c r="A5" s="391"/>
      <c r="B5" s="391"/>
      <c r="C5" s="391"/>
    </row>
    <row r="6" spans="1:6" ht="15.6" thickTop="1" x14ac:dyDescent="0.35">
      <c r="A6" s="96" t="s">
        <v>267</v>
      </c>
      <c r="B6" s="97" t="s">
        <v>268</v>
      </c>
      <c r="C6" s="94">
        <v>44312</v>
      </c>
    </row>
    <row r="7" spans="1:6" ht="15" x14ac:dyDescent="0.35">
      <c r="A7" s="98" t="s">
        <v>269</v>
      </c>
      <c r="B7" s="99" t="s">
        <v>270</v>
      </c>
      <c r="C7" s="95" t="s">
        <v>364</v>
      </c>
    </row>
    <row r="8" spans="1:6" ht="15" x14ac:dyDescent="0.35">
      <c r="A8" s="98" t="s">
        <v>271</v>
      </c>
      <c r="B8" s="99" t="s">
        <v>272</v>
      </c>
      <c r="C8" s="95" t="s">
        <v>365</v>
      </c>
    </row>
    <row r="9" spans="1:6" ht="15" x14ac:dyDescent="0.35">
      <c r="A9" s="98" t="s">
        <v>276</v>
      </c>
      <c r="B9" s="99" t="s">
        <v>273</v>
      </c>
      <c r="C9" s="95" t="s">
        <v>366</v>
      </c>
    </row>
    <row r="10" spans="1:6" ht="15" x14ac:dyDescent="0.35">
      <c r="A10" s="98" t="s">
        <v>277</v>
      </c>
      <c r="B10" s="99" t="s">
        <v>274</v>
      </c>
      <c r="C10" s="95" t="s">
        <v>367</v>
      </c>
    </row>
    <row r="11" spans="1:6" ht="15" x14ac:dyDescent="0.35">
      <c r="A11" s="98" t="s">
        <v>278</v>
      </c>
      <c r="B11" s="99" t="s">
        <v>280</v>
      </c>
      <c r="C11" s="95" t="s">
        <v>368</v>
      </c>
    </row>
    <row r="12" spans="1:6" ht="15.6" thickBot="1" x14ac:dyDescent="0.4">
      <c r="A12" s="100" t="s">
        <v>279</v>
      </c>
      <c r="B12" s="101" t="s">
        <v>275</v>
      </c>
      <c r="C12" s="369">
        <v>44196</v>
      </c>
    </row>
    <row r="13" spans="1:6" ht="15" thickTop="1" x14ac:dyDescent="0.3"/>
    <row r="15" spans="1:6" x14ac:dyDescent="0.3">
      <c r="A15" s="394" t="s">
        <v>281</v>
      </c>
      <c r="B15" s="394"/>
      <c r="C15" s="394"/>
    </row>
    <row r="16" spans="1:6" x14ac:dyDescent="0.3">
      <c r="A16" s="395" t="s">
        <v>290</v>
      </c>
      <c r="B16" s="395"/>
      <c r="C16" s="395"/>
    </row>
    <row r="17" spans="1:5" x14ac:dyDescent="0.3">
      <c r="A17" s="395" t="s">
        <v>291</v>
      </c>
      <c r="B17" s="395"/>
      <c r="C17" s="395"/>
      <c r="E17" s="240"/>
    </row>
    <row r="18" spans="1:5" x14ac:dyDescent="0.3">
      <c r="A18" s="395" t="s">
        <v>292</v>
      </c>
      <c r="B18" s="395"/>
      <c r="C18" s="395"/>
    </row>
    <row r="19" spans="1:5" x14ac:dyDescent="0.3">
      <c r="A19" s="395" t="s">
        <v>293</v>
      </c>
      <c r="B19" s="395"/>
      <c r="C19" s="395"/>
    </row>
    <row r="20" spans="1:5" x14ac:dyDescent="0.3">
      <c r="A20" s="395" t="s">
        <v>294</v>
      </c>
      <c r="B20" s="395"/>
      <c r="C20" s="395"/>
    </row>
    <row r="21" spans="1:5" x14ac:dyDescent="0.3">
      <c r="A21" s="395" t="s">
        <v>295</v>
      </c>
      <c r="B21" s="395"/>
      <c r="C21" s="395"/>
    </row>
    <row r="22" spans="1:5" x14ac:dyDescent="0.3">
      <c r="A22" s="395" t="s">
        <v>296</v>
      </c>
      <c r="B22" s="395"/>
      <c r="C22" s="395"/>
    </row>
    <row r="24" spans="1:5" x14ac:dyDescent="0.3">
      <c r="A24" s="393"/>
      <c r="B24" s="393"/>
    </row>
    <row r="26" spans="1:5" x14ac:dyDescent="0.3">
      <c r="A26" s="388"/>
      <c r="B26" s="388"/>
      <c r="C26" s="388"/>
    </row>
  </sheetData>
  <sheetProtection selectLockedCells="1"/>
  <mergeCells count="15">
    <mergeCell ref="A26:C26"/>
    <mergeCell ref="A2:C2"/>
    <mergeCell ref="A4:C4"/>
    <mergeCell ref="A5:C5"/>
    <mergeCell ref="A1:C1"/>
    <mergeCell ref="A3:C3"/>
    <mergeCell ref="A24:B24"/>
    <mergeCell ref="A15:C15"/>
    <mergeCell ref="A22:C22"/>
    <mergeCell ref="A21:C21"/>
    <mergeCell ref="A20:C20"/>
    <mergeCell ref="A19:C19"/>
    <mergeCell ref="A18:C18"/>
    <mergeCell ref="A17:C17"/>
    <mergeCell ref="A16:C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88"/>
  <sheetViews>
    <sheetView showGridLines="0" topLeftCell="A19" zoomScale="80" zoomScaleNormal="80" workbookViewId="0">
      <selection activeCell="E73" sqref="E73"/>
    </sheetView>
  </sheetViews>
  <sheetFormatPr defaultColWidth="9.109375" defaultRowHeight="15" x14ac:dyDescent="0.35"/>
  <cols>
    <col min="1" max="1" width="60.6640625" style="26" customWidth="1"/>
    <col min="2" max="2" width="15.109375" style="26" customWidth="1"/>
    <col min="3" max="3" width="18.33203125" style="26" customWidth="1"/>
    <col min="4" max="4" width="62.109375" style="26" customWidth="1"/>
    <col min="5" max="5" width="15.109375" style="26" bestFit="1" customWidth="1"/>
    <col min="6" max="6" width="18.33203125" style="26" customWidth="1"/>
    <col min="7" max="16384" width="9.109375" style="26"/>
  </cols>
  <sheetData>
    <row r="1" spans="1:8" x14ac:dyDescent="0.35">
      <c r="A1" s="402"/>
      <c r="B1" s="402"/>
      <c r="C1" s="402"/>
      <c r="D1" s="402"/>
      <c r="E1" s="402"/>
      <c r="F1" s="402"/>
    </row>
    <row r="2" spans="1:8" x14ac:dyDescent="0.35">
      <c r="A2" s="402" t="s">
        <v>264</v>
      </c>
      <c r="B2" s="402"/>
      <c r="C2" s="402"/>
      <c r="D2" s="402"/>
      <c r="E2" s="402"/>
      <c r="F2" s="402"/>
    </row>
    <row r="3" spans="1:8" ht="18.600000000000001" x14ac:dyDescent="0.4">
      <c r="A3" s="403" t="s">
        <v>263</v>
      </c>
      <c r="B3" s="403"/>
      <c r="C3" s="403"/>
      <c r="D3" s="403"/>
      <c r="E3" s="403"/>
      <c r="F3" s="403"/>
    </row>
    <row r="4" spans="1:8" ht="16.2" x14ac:dyDescent="0.35">
      <c r="A4" s="404" t="str">
        <f>+Съдържание!C7</f>
        <v>" КАМИБО " ЕООД</v>
      </c>
      <c r="B4" s="404"/>
      <c r="C4" s="404"/>
      <c r="D4" s="404"/>
      <c r="E4" s="404"/>
      <c r="F4" s="404"/>
    </row>
    <row r="5" spans="1:8" ht="16.2" x14ac:dyDescent="0.35">
      <c r="A5" s="407" t="str">
        <f>+Съдържание!C8</f>
        <v>ЕИК/ПИК: 131157890</v>
      </c>
      <c r="B5" s="407"/>
      <c r="C5" s="407"/>
      <c r="D5" s="408" t="str">
        <f>+Съдържание!C9</f>
        <v>гр. София 1220, ж.к. Надежда бл. 155, вх. В, ап. 71</v>
      </c>
      <c r="E5" s="408"/>
      <c r="F5" s="408"/>
    </row>
    <row r="6" spans="1:8" ht="16.2" x14ac:dyDescent="0.35">
      <c r="A6" s="405" t="s">
        <v>373</v>
      </c>
      <c r="B6" s="405"/>
      <c r="C6" s="405"/>
      <c r="D6" s="405"/>
      <c r="E6" s="405"/>
      <c r="F6" s="405"/>
    </row>
    <row r="7" spans="1:8" ht="15.6" thickBot="1" x14ac:dyDescent="0.4">
      <c r="A7" s="406"/>
      <c r="B7" s="406"/>
      <c r="C7" s="406"/>
      <c r="D7" s="406"/>
      <c r="E7" s="406"/>
      <c r="F7" s="406"/>
    </row>
    <row r="8" spans="1:8" ht="16.2" thickTop="1" thickBot="1" x14ac:dyDescent="0.4">
      <c r="A8" s="396" t="s">
        <v>0</v>
      </c>
      <c r="B8" s="396"/>
      <c r="C8" s="396"/>
      <c r="D8" s="397" t="s">
        <v>1</v>
      </c>
      <c r="E8" s="397"/>
      <c r="F8" s="397"/>
    </row>
    <row r="9" spans="1:8" ht="16.2" thickTop="1" thickBot="1" x14ac:dyDescent="0.4">
      <c r="A9" s="398" t="s">
        <v>2</v>
      </c>
      <c r="B9" s="399" t="s">
        <v>3</v>
      </c>
      <c r="C9" s="399"/>
      <c r="D9" s="400" t="s">
        <v>2</v>
      </c>
      <c r="E9" s="399" t="s">
        <v>3</v>
      </c>
      <c r="F9" s="399"/>
    </row>
    <row r="10" spans="1:8" ht="16.2" thickTop="1" thickBot="1" x14ac:dyDescent="0.4">
      <c r="A10" s="398"/>
      <c r="B10" s="401" t="s">
        <v>4</v>
      </c>
      <c r="C10" s="401" t="s">
        <v>5</v>
      </c>
      <c r="D10" s="400"/>
      <c r="E10" s="401" t="s">
        <v>4</v>
      </c>
      <c r="F10" s="401" t="s">
        <v>5</v>
      </c>
    </row>
    <row r="11" spans="1:8" ht="16.2" thickTop="1" thickBot="1" x14ac:dyDescent="0.4">
      <c r="A11" s="398"/>
      <c r="B11" s="401"/>
      <c r="C11" s="401"/>
      <c r="D11" s="400"/>
      <c r="E11" s="401"/>
      <c r="F11" s="401"/>
    </row>
    <row r="12" spans="1:8" ht="16.2" thickTop="1" thickBot="1" x14ac:dyDescent="0.4">
      <c r="A12" s="43" t="s">
        <v>6</v>
      </c>
      <c r="B12" s="43">
        <v>1</v>
      </c>
      <c r="C12" s="43">
        <v>2</v>
      </c>
      <c r="D12" s="43" t="s">
        <v>6</v>
      </c>
      <c r="E12" s="43">
        <v>1</v>
      </c>
      <c r="F12" s="43">
        <v>2</v>
      </c>
      <c r="H12" s="44"/>
    </row>
    <row r="13" spans="1:8" ht="15.6" thickTop="1" x14ac:dyDescent="0.35">
      <c r="A13" s="30" t="s">
        <v>7</v>
      </c>
      <c r="B13" s="225"/>
      <c r="C13" s="225"/>
      <c r="D13" s="45" t="s">
        <v>8</v>
      </c>
      <c r="E13" s="194"/>
      <c r="F13" s="195"/>
    </row>
    <row r="14" spans="1:8" x14ac:dyDescent="0.35">
      <c r="A14" s="32" t="s">
        <v>9</v>
      </c>
      <c r="B14" s="198"/>
      <c r="C14" s="198"/>
      <c r="D14" s="46" t="s">
        <v>11</v>
      </c>
      <c r="E14" s="196">
        <v>5</v>
      </c>
      <c r="F14" s="197">
        <v>5</v>
      </c>
    </row>
    <row r="15" spans="1:8" x14ac:dyDescent="0.35">
      <c r="A15" s="32" t="s">
        <v>10</v>
      </c>
      <c r="B15" s="198"/>
      <c r="C15" s="198"/>
      <c r="D15" s="46" t="s">
        <v>12</v>
      </c>
      <c r="E15" s="196"/>
      <c r="F15" s="197"/>
    </row>
    <row r="16" spans="1:8" x14ac:dyDescent="0.35">
      <c r="A16" s="34" t="s">
        <v>15</v>
      </c>
      <c r="B16" s="198"/>
      <c r="C16" s="198"/>
      <c r="D16" s="46" t="s">
        <v>13</v>
      </c>
      <c r="E16" s="196"/>
      <c r="F16" s="197"/>
    </row>
    <row r="17" spans="1:6" ht="30" x14ac:dyDescent="0.35">
      <c r="A17" s="35" t="s">
        <v>17</v>
      </c>
      <c r="B17" s="198"/>
      <c r="C17" s="198"/>
      <c r="D17" s="243" t="s">
        <v>14</v>
      </c>
      <c r="E17" s="198">
        <v>4602</v>
      </c>
      <c r="F17" s="199">
        <v>4602</v>
      </c>
    </row>
    <row r="18" spans="1:6" x14ac:dyDescent="0.35">
      <c r="A18" s="34" t="s">
        <v>19</v>
      </c>
      <c r="B18" s="198"/>
      <c r="C18" s="198"/>
      <c r="D18" s="47" t="s">
        <v>16</v>
      </c>
      <c r="E18" s="198"/>
      <c r="F18" s="199"/>
    </row>
    <row r="19" spans="1:6" ht="30.6" thickBot="1" x14ac:dyDescent="0.4">
      <c r="A19" s="155" t="s">
        <v>21</v>
      </c>
      <c r="B19" s="226"/>
      <c r="C19" s="226"/>
      <c r="D19" s="48" t="s">
        <v>18</v>
      </c>
      <c r="E19" s="198"/>
      <c r="F19" s="199"/>
    </row>
    <row r="20" spans="1:6" ht="16.2" thickTop="1" thickBot="1" x14ac:dyDescent="0.4">
      <c r="A20" s="169" t="s">
        <v>23</v>
      </c>
      <c r="B20" s="227">
        <f>SUM(B16:B19)</f>
        <v>0</v>
      </c>
      <c r="C20" s="227">
        <f>SUM(C16:C19)</f>
        <v>0</v>
      </c>
      <c r="D20" s="153" t="s">
        <v>20</v>
      </c>
      <c r="E20" s="198"/>
      <c r="F20" s="199"/>
    </row>
    <row r="21" spans="1:6" ht="16.2" thickTop="1" thickBot="1" x14ac:dyDescent="0.4">
      <c r="A21" s="160" t="s">
        <v>25</v>
      </c>
      <c r="B21" s="228"/>
      <c r="C21" s="228"/>
      <c r="D21" s="176" t="s">
        <v>22</v>
      </c>
      <c r="E21" s="226">
        <v>4602</v>
      </c>
      <c r="F21" s="236">
        <v>4602</v>
      </c>
    </row>
    <row r="22" spans="1:6" ht="16.2" thickTop="1" thickBot="1" x14ac:dyDescent="0.4">
      <c r="A22" s="34" t="s">
        <v>27</v>
      </c>
      <c r="B22" s="198">
        <v>24</v>
      </c>
      <c r="C22" s="198">
        <v>24</v>
      </c>
      <c r="D22" s="171" t="s">
        <v>24</v>
      </c>
      <c r="E22" s="227">
        <v>4602</v>
      </c>
      <c r="F22" s="227">
        <v>4602</v>
      </c>
    </row>
    <row r="23" spans="1:6" ht="15.6" thickTop="1" x14ac:dyDescent="0.35">
      <c r="A23" s="38" t="s">
        <v>29</v>
      </c>
      <c r="B23" s="198"/>
      <c r="C23" s="198"/>
      <c r="D23" s="180" t="s">
        <v>26</v>
      </c>
      <c r="E23" s="228"/>
      <c r="F23" s="237"/>
    </row>
    <row r="24" spans="1:6" x14ac:dyDescent="0.35">
      <c r="A24" s="38" t="s">
        <v>31</v>
      </c>
      <c r="B24" s="198">
        <v>24</v>
      </c>
      <c r="C24" s="198">
        <v>24</v>
      </c>
      <c r="D24" s="50" t="s">
        <v>28</v>
      </c>
      <c r="E24" s="198">
        <v>325</v>
      </c>
      <c r="F24" s="199">
        <v>325</v>
      </c>
    </row>
    <row r="25" spans="1:6" ht="15.6" thickBot="1" x14ac:dyDescent="0.4">
      <c r="A25" s="34" t="s">
        <v>32</v>
      </c>
      <c r="B25" s="198">
        <v>22</v>
      </c>
      <c r="C25" s="198">
        <v>22</v>
      </c>
      <c r="D25" s="177" t="s">
        <v>30</v>
      </c>
      <c r="E25" s="226">
        <v>-5037</v>
      </c>
      <c r="F25" s="236">
        <v>-4316</v>
      </c>
    </row>
    <row r="26" spans="1:6" ht="16.2" thickTop="1" thickBot="1" x14ac:dyDescent="0.4">
      <c r="A26" s="34" t="s">
        <v>33</v>
      </c>
      <c r="B26" s="198"/>
      <c r="C26" s="229"/>
      <c r="D26" s="171" t="s">
        <v>36</v>
      </c>
      <c r="E26" s="227">
        <v>-4712</v>
      </c>
      <c r="F26" s="227">
        <v>-3991</v>
      </c>
    </row>
    <row r="27" spans="1:6" ht="31.2" thickTop="1" thickBot="1" x14ac:dyDescent="0.4">
      <c r="A27" s="35" t="s">
        <v>34</v>
      </c>
      <c r="B27" s="198"/>
      <c r="C27" s="229"/>
      <c r="D27" s="242" t="s">
        <v>38</v>
      </c>
      <c r="E27" s="241">
        <v>-1053</v>
      </c>
      <c r="F27" s="241">
        <v>-721</v>
      </c>
    </row>
    <row r="28" spans="1:6" ht="16.2" thickTop="1" thickBot="1" x14ac:dyDescent="0.4">
      <c r="A28" s="155"/>
      <c r="B28" s="226"/>
      <c r="C28" s="230"/>
      <c r="D28" s="184" t="s">
        <v>39</v>
      </c>
      <c r="E28" s="238">
        <v>-1158</v>
      </c>
      <c r="F28" s="238">
        <v>-105</v>
      </c>
    </row>
    <row r="29" spans="1:6" ht="16.2" thickTop="1" thickBot="1" x14ac:dyDescent="0.4">
      <c r="A29" s="131" t="s">
        <v>35</v>
      </c>
      <c r="B29" s="227">
        <f>SUM(B22,B25,B26,B27)</f>
        <v>46</v>
      </c>
      <c r="C29" s="227">
        <v>46</v>
      </c>
      <c r="D29" s="181" t="s">
        <v>40</v>
      </c>
      <c r="E29" s="228"/>
      <c r="F29" s="237"/>
    </row>
    <row r="30" spans="1:6" ht="15.6" thickTop="1" x14ac:dyDescent="0.35">
      <c r="A30" s="161" t="s">
        <v>37</v>
      </c>
      <c r="B30" s="228"/>
      <c r="C30" s="228"/>
      <c r="D30" s="47" t="s">
        <v>42</v>
      </c>
      <c r="E30" s="198"/>
      <c r="F30" s="199"/>
    </row>
    <row r="31" spans="1:6" x14ac:dyDescent="0.35">
      <c r="A31" s="34" t="s">
        <v>41</v>
      </c>
      <c r="B31" s="198"/>
      <c r="C31" s="198"/>
      <c r="D31" s="49" t="s">
        <v>44</v>
      </c>
      <c r="E31" s="198"/>
      <c r="F31" s="199"/>
    </row>
    <row r="32" spans="1:6" ht="30" x14ac:dyDescent="0.35">
      <c r="A32" s="35" t="s">
        <v>43</v>
      </c>
      <c r="B32" s="198"/>
      <c r="C32" s="198"/>
      <c r="D32" s="50" t="s">
        <v>46</v>
      </c>
      <c r="E32" s="198"/>
      <c r="F32" s="199"/>
    </row>
    <row r="33" spans="1:6" ht="15.6" thickBot="1" x14ac:dyDescent="0.4">
      <c r="A33" s="35" t="s">
        <v>45</v>
      </c>
      <c r="B33" s="198"/>
      <c r="C33" s="198"/>
      <c r="D33" s="176" t="s">
        <v>48</v>
      </c>
      <c r="E33" s="226"/>
      <c r="F33" s="236"/>
    </row>
    <row r="34" spans="1:6" ht="31.2" thickTop="1" thickBot="1" x14ac:dyDescent="0.4">
      <c r="A34" s="35" t="s">
        <v>47</v>
      </c>
      <c r="B34" s="198"/>
      <c r="C34" s="229"/>
      <c r="D34" s="170" t="s">
        <v>53</v>
      </c>
      <c r="E34" s="227"/>
      <c r="F34" s="227"/>
    </row>
    <row r="35" spans="1:6" ht="16.2" thickTop="1" thickBot="1" x14ac:dyDescent="0.4">
      <c r="A35" s="35" t="s">
        <v>49</v>
      </c>
      <c r="B35" s="198"/>
      <c r="C35" s="198"/>
      <c r="D35" s="182" t="s">
        <v>56</v>
      </c>
      <c r="E35" s="232"/>
      <c r="F35" s="239"/>
    </row>
    <row r="36" spans="1:6" ht="31.2" thickTop="1" thickBot="1" x14ac:dyDescent="0.4">
      <c r="A36" s="35" t="s">
        <v>50</v>
      </c>
      <c r="B36" s="198">
        <v>1286</v>
      </c>
      <c r="C36" s="198">
        <v>1286</v>
      </c>
      <c r="D36" s="173" t="s">
        <v>59</v>
      </c>
      <c r="E36" s="227"/>
      <c r="F36" s="227"/>
    </row>
    <row r="37" spans="1:6" ht="16.2" thickTop="1" thickBot="1" x14ac:dyDescent="0.4">
      <c r="A37" s="156" t="s">
        <v>51</v>
      </c>
      <c r="B37" s="226"/>
      <c r="C37" s="226"/>
      <c r="D37" s="50" t="s">
        <v>61</v>
      </c>
      <c r="E37" s="228"/>
      <c r="F37" s="237"/>
    </row>
    <row r="38" spans="1:6" ht="16.2" thickTop="1" thickBot="1" x14ac:dyDescent="0.4">
      <c r="A38" s="124" t="s">
        <v>52</v>
      </c>
      <c r="B38" s="227">
        <f>SUM(B31:B36)</f>
        <v>1286</v>
      </c>
      <c r="C38" s="227">
        <v>1286</v>
      </c>
      <c r="D38" s="154" t="s">
        <v>63</v>
      </c>
      <c r="E38" s="226"/>
      <c r="F38" s="236"/>
    </row>
    <row r="39" spans="1:6" ht="16.2" thickTop="1" thickBot="1" x14ac:dyDescent="0.4">
      <c r="A39" s="162" t="s">
        <v>54</v>
      </c>
      <c r="B39" s="231"/>
      <c r="C39" s="231"/>
      <c r="D39" s="174" t="s">
        <v>65</v>
      </c>
      <c r="E39" s="227">
        <v>309</v>
      </c>
      <c r="F39" s="227">
        <v>1</v>
      </c>
    </row>
    <row r="40" spans="1:6" ht="16.2" thickTop="1" thickBot="1" x14ac:dyDescent="0.4">
      <c r="A40" s="124" t="s">
        <v>53</v>
      </c>
      <c r="B40" s="227">
        <f>SUM(B20,B29,B38,B39)</f>
        <v>1332</v>
      </c>
      <c r="C40" s="227">
        <f>SUM(C20,C29,C38,C39)</f>
        <v>1332</v>
      </c>
      <c r="D40" s="154" t="s">
        <v>61</v>
      </c>
      <c r="E40" s="228"/>
      <c r="F40" s="237"/>
    </row>
    <row r="41" spans="1:6" ht="16.2" thickTop="1" thickBot="1" x14ac:dyDescent="0.4">
      <c r="A41" s="163" t="s">
        <v>55</v>
      </c>
      <c r="B41" s="228"/>
      <c r="C41" s="228"/>
      <c r="D41" s="50" t="s">
        <v>63</v>
      </c>
      <c r="E41" s="226">
        <v>309</v>
      </c>
      <c r="F41" s="236">
        <v>1</v>
      </c>
    </row>
    <row r="42" spans="1:6" ht="16.2" thickTop="1" thickBot="1" x14ac:dyDescent="0.4">
      <c r="A42" s="32" t="s">
        <v>57</v>
      </c>
      <c r="B42" s="198"/>
      <c r="C42" s="198"/>
      <c r="D42" s="174" t="s">
        <v>70</v>
      </c>
      <c r="E42" s="227"/>
      <c r="F42" s="227"/>
    </row>
    <row r="43" spans="1:6" ht="15.6" thickTop="1" x14ac:dyDescent="0.35">
      <c r="A43" s="34" t="s">
        <v>58</v>
      </c>
      <c r="B43" s="198"/>
      <c r="C43" s="198"/>
      <c r="D43" s="50" t="s">
        <v>61</v>
      </c>
      <c r="E43" s="228"/>
      <c r="F43" s="237"/>
    </row>
    <row r="44" spans="1:6" ht="15.6" thickBot="1" x14ac:dyDescent="0.4">
      <c r="A44" s="39" t="s">
        <v>60</v>
      </c>
      <c r="B44" s="198">
        <v>743</v>
      </c>
      <c r="C44" s="198">
        <v>1486</v>
      </c>
      <c r="D44" s="50" t="s">
        <v>63</v>
      </c>
      <c r="E44" s="226"/>
      <c r="F44" s="236"/>
    </row>
    <row r="45" spans="1:6" ht="16.2" thickTop="1" thickBot="1" x14ac:dyDescent="0.4">
      <c r="A45" s="39" t="s">
        <v>62</v>
      </c>
      <c r="B45" s="198">
        <f>SUM(B46:B47)</f>
        <v>0</v>
      </c>
      <c r="C45" s="198"/>
      <c r="D45" s="174" t="s">
        <v>73</v>
      </c>
      <c r="E45" s="227">
        <v>47</v>
      </c>
      <c r="F45" s="227">
        <v>47</v>
      </c>
    </row>
    <row r="46" spans="1:6" ht="15.6" thickTop="1" x14ac:dyDescent="0.35">
      <c r="A46" s="34" t="s">
        <v>64</v>
      </c>
      <c r="B46" s="198"/>
      <c r="C46" s="198"/>
      <c r="D46" s="50" t="s">
        <v>61</v>
      </c>
      <c r="E46" s="228"/>
      <c r="F46" s="237"/>
    </row>
    <row r="47" spans="1:6" ht="15.6" thickBot="1" x14ac:dyDescent="0.4">
      <c r="A47" s="51" t="s">
        <v>66</v>
      </c>
      <c r="B47" s="198"/>
      <c r="C47" s="198"/>
      <c r="D47" s="50" t="s">
        <v>63</v>
      </c>
      <c r="E47" s="226">
        <v>47</v>
      </c>
      <c r="F47" s="236">
        <v>47</v>
      </c>
    </row>
    <row r="48" spans="1:6" ht="16.2" thickTop="1" thickBot="1" x14ac:dyDescent="0.4">
      <c r="A48" s="157" t="s">
        <v>67</v>
      </c>
      <c r="B48" s="226"/>
      <c r="C48" s="226"/>
      <c r="D48" s="174" t="s">
        <v>76</v>
      </c>
      <c r="E48" s="227"/>
      <c r="F48" s="227"/>
    </row>
    <row r="49" spans="1:6" ht="16.2" thickTop="1" thickBot="1" x14ac:dyDescent="0.4">
      <c r="A49" s="169" t="s">
        <v>23</v>
      </c>
      <c r="B49" s="227">
        <f>SUM(B43,B44,B45,B48)</f>
        <v>743</v>
      </c>
      <c r="C49" s="227">
        <v>1486</v>
      </c>
      <c r="D49" s="154" t="s">
        <v>61</v>
      </c>
      <c r="E49" s="228"/>
      <c r="F49" s="237"/>
    </row>
    <row r="50" spans="1:6" ht="16.2" thickTop="1" thickBot="1" x14ac:dyDescent="0.4">
      <c r="A50" s="164" t="s">
        <v>68</v>
      </c>
      <c r="B50" s="228"/>
      <c r="C50" s="228"/>
      <c r="D50" s="50" t="s">
        <v>63</v>
      </c>
      <c r="E50" s="226"/>
      <c r="F50" s="236"/>
    </row>
    <row r="51" spans="1:6" ht="16.2" thickTop="1" thickBot="1" x14ac:dyDescent="0.4">
      <c r="A51" s="52" t="s">
        <v>69</v>
      </c>
      <c r="B51" s="198">
        <v>3</v>
      </c>
      <c r="C51" s="198">
        <v>5</v>
      </c>
      <c r="D51" s="174" t="s">
        <v>77</v>
      </c>
      <c r="E51" s="227"/>
      <c r="F51" s="227"/>
    </row>
    <row r="52" spans="1:6" ht="15.6" thickTop="1" x14ac:dyDescent="0.35">
      <c r="A52" s="52" t="s">
        <v>71</v>
      </c>
      <c r="B52" s="198"/>
      <c r="C52" s="198"/>
      <c r="D52" s="50" t="s">
        <v>61</v>
      </c>
      <c r="E52" s="228"/>
      <c r="F52" s="237"/>
    </row>
    <row r="53" spans="1:6" x14ac:dyDescent="0.35">
      <c r="A53" s="52" t="s">
        <v>72</v>
      </c>
      <c r="B53" s="198"/>
      <c r="C53" s="198"/>
      <c r="D53" s="50" t="s">
        <v>63</v>
      </c>
      <c r="E53" s="198"/>
      <c r="F53" s="199"/>
    </row>
    <row r="54" spans="1:6" ht="15.6" thickBot="1" x14ac:dyDescent="0.4">
      <c r="A54" s="52" t="s">
        <v>71</v>
      </c>
      <c r="B54" s="198"/>
      <c r="C54" s="198"/>
      <c r="D54" s="53"/>
      <c r="E54" s="226"/>
      <c r="F54" s="236"/>
    </row>
    <row r="55" spans="1:6" ht="31.2" thickTop="1" thickBot="1" x14ac:dyDescent="0.4">
      <c r="A55" s="54" t="s">
        <v>74</v>
      </c>
      <c r="B55" s="198"/>
      <c r="C55" s="198"/>
      <c r="D55" s="173" t="s">
        <v>80</v>
      </c>
      <c r="E55" s="227"/>
      <c r="F55" s="227"/>
    </row>
    <row r="56" spans="1:6" ht="15.6" thickTop="1" x14ac:dyDescent="0.35">
      <c r="A56" s="52" t="s">
        <v>71</v>
      </c>
      <c r="B56" s="198"/>
      <c r="C56" s="198"/>
      <c r="D56" s="50" t="s">
        <v>61</v>
      </c>
      <c r="E56" s="228"/>
      <c r="F56" s="237"/>
    </row>
    <row r="57" spans="1:6" ht="15.6" thickBot="1" x14ac:dyDescent="0.4">
      <c r="A57" s="52" t="s">
        <v>75</v>
      </c>
      <c r="B57" s="198">
        <v>6294</v>
      </c>
      <c r="C57" s="198">
        <v>4468</v>
      </c>
      <c r="D57" s="50" t="s">
        <v>63</v>
      </c>
      <c r="E57" s="226"/>
      <c r="F57" s="236"/>
    </row>
    <row r="58" spans="1:6" ht="16.2" thickTop="1" thickBot="1" x14ac:dyDescent="0.4">
      <c r="A58" s="158" t="s">
        <v>71</v>
      </c>
      <c r="B58" s="226">
        <v>6294</v>
      </c>
      <c r="C58" s="226">
        <v>4468</v>
      </c>
      <c r="D58" s="174" t="s">
        <v>84</v>
      </c>
      <c r="E58" s="227">
        <v>9189</v>
      </c>
      <c r="F58" s="227">
        <v>7363</v>
      </c>
    </row>
    <row r="59" spans="1:6" ht="16.2" thickTop="1" thickBot="1" x14ac:dyDescent="0.4">
      <c r="A59" s="170" t="s">
        <v>35</v>
      </c>
      <c r="B59" s="227">
        <v>6297</v>
      </c>
      <c r="C59" s="227">
        <v>4473</v>
      </c>
      <c r="D59" s="154" t="s">
        <v>61</v>
      </c>
      <c r="E59" s="228">
        <v>1</v>
      </c>
      <c r="F59" s="237">
        <v>5</v>
      </c>
    </row>
    <row r="60" spans="1:6" ht="16.2" thickTop="1" thickBot="1" x14ac:dyDescent="0.4">
      <c r="A60" s="165" t="s">
        <v>78</v>
      </c>
      <c r="B60" s="228"/>
      <c r="C60" s="228"/>
      <c r="D60" s="50" t="s">
        <v>63</v>
      </c>
      <c r="E60" s="226">
        <v>9188</v>
      </c>
      <c r="F60" s="236">
        <v>7357</v>
      </c>
    </row>
    <row r="61" spans="1:6" ht="16.2" thickTop="1" thickBot="1" x14ac:dyDescent="0.4">
      <c r="A61" s="52" t="s">
        <v>79</v>
      </c>
      <c r="B61" s="198"/>
      <c r="C61" s="198"/>
      <c r="D61" s="174" t="s">
        <v>86</v>
      </c>
      <c r="E61" s="227">
        <v>1</v>
      </c>
      <c r="F61" s="227">
        <v>5</v>
      </c>
    </row>
    <row r="62" spans="1:6" ht="15.6" thickTop="1" x14ac:dyDescent="0.35">
      <c r="A62" s="52" t="s">
        <v>289</v>
      </c>
      <c r="B62" s="198" t="s">
        <v>262</v>
      </c>
      <c r="C62" s="198"/>
      <c r="D62" s="50" t="s">
        <v>61</v>
      </c>
      <c r="E62" s="228">
        <v>1</v>
      </c>
      <c r="F62" s="237">
        <v>5</v>
      </c>
    </row>
    <row r="63" spans="1:6" ht="15.6" thickBot="1" x14ac:dyDescent="0.4">
      <c r="A63" s="158" t="s">
        <v>81</v>
      </c>
      <c r="B63" s="226"/>
      <c r="C63" s="226"/>
      <c r="D63" s="50" t="s">
        <v>63</v>
      </c>
      <c r="E63" s="226"/>
      <c r="F63" s="236"/>
    </row>
    <row r="64" spans="1:6" ht="16.2" thickTop="1" thickBot="1" x14ac:dyDescent="0.4">
      <c r="A64" s="171" t="s">
        <v>52</v>
      </c>
      <c r="B64" s="227">
        <f>SUM(B61,B63)</f>
        <v>0</v>
      </c>
      <c r="C64" s="227"/>
      <c r="D64" s="175" t="s">
        <v>87</v>
      </c>
      <c r="E64" s="227">
        <v>374</v>
      </c>
      <c r="F64" s="227">
        <v>386</v>
      </c>
    </row>
    <row r="65" spans="1:6" ht="15.6" thickTop="1" x14ac:dyDescent="0.35">
      <c r="A65" s="166"/>
      <c r="B65" s="228"/>
      <c r="C65" s="228"/>
      <c r="D65" s="50" t="s">
        <v>61</v>
      </c>
      <c r="E65" s="228"/>
      <c r="F65" s="237"/>
    </row>
    <row r="66" spans="1:6" ht="15.6" thickBot="1" x14ac:dyDescent="0.4">
      <c r="A66" s="55" t="s">
        <v>82</v>
      </c>
      <c r="B66" s="198">
        <v>15</v>
      </c>
      <c r="C66" s="198">
        <v>15</v>
      </c>
      <c r="D66" s="50" t="s">
        <v>63</v>
      </c>
      <c r="E66" s="226">
        <v>374</v>
      </c>
      <c r="F66" s="236">
        <v>386</v>
      </c>
    </row>
    <row r="67" spans="1:6" ht="16.2" thickTop="1" thickBot="1" x14ac:dyDescent="0.4">
      <c r="A67" s="52" t="s">
        <v>83</v>
      </c>
      <c r="B67" s="198">
        <v>13</v>
      </c>
      <c r="C67" s="198">
        <v>13</v>
      </c>
      <c r="D67" s="174" t="s">
        <v>88</v>
      </c>
      <c r="E67" s="227">
        <v>306</v>
      </c>
      <c r="F67" s="227">
        <v>323</v>
      </c>
    </row>
    <row r="68" spans="1:6" ht="16.2" thickTop="1" thickBot="1" x14ac:dyDescent="0.4">
      <c r="A68" s="158" t="s">
        <v>85</v>
      </c>
      <c r="B68" s="226">
        <v>2</v>
      </c>
      <c r="C68" s="226">
        <v>2</v>
      </c>
      <c r="D68" s="50" t="s">
        <v>89</v>
      </c>
      <c r="E68" s="228"/>
      <c r="F68" s="237"/>
    </row>
    <row r="69" spans="1:6" ht="16.2" thickTop="1" thickBot="1" x14ac:dyDescent="0.4">
      <c r="A69" s="169" t="s">
        <v>24</v>
      </c>
      <c r="B69" s="227">
        <f>SUM(B67:B68)</f>
        <v>15</v>
      </c>
      <c r="C69" s="227">
        <v>15</v>
      </c>
      <c r="D69" s="178" t="s">
        <v>63</v>
      </c>
      <c r="E69" s="226">
        <v>306</v>
      </c>
      <c r="F69" s="236">
        <v>323</v>
      </c>
    </row>
    <row r="70" spans="1:6" ht="16.2" thickTop="1" thickBot="1" x14ac:dyDescent="0.4">
      <c r="A70" s="167"/>
      <c r="B70" s="232"/>
      <c r="C70" s="233"/>
      <c r="D70" s="170" t="s">
        <v>91</v>
      </c>
      <c r="E70" s="227">
        <v>9545</v>
      </c>
      <c r="F70" s="227">
        <v>7411</v>
      </c>
    </row>
    <row r="71" spans="1:6" ht="16.2" thickTop="1" thickBot="1" x14ac:dyDescent="0.4">
      <c r="A71" s="169" t="s">
        <v>90</v>
      </c>
      <c r="B71" s="227">
        <f>SUM(B49,B59,B64,B69)</f>
        <v>7055</v>
      </c>
      <c r="C71" s="227">
        <v>5974</v>
      </c>
      <c r="D71" s="183" t="s">
        <v>92</v>
      </c>
      <c r="E71" s="228">
        <v>1</v>
      </c>
      <c r="F71" s="237">
        <v>5</v>
      </c>
    </row>
    <row r="72" spans="1:6" ht="16.2" thickTop="1" thickBot="1" x14ac:dyDescent="0.4">
      <c r="A72" s="168"/>
      <c r="B72" s="228"/>
      <c r="C72" s="228"/>
      <c r="D72" s="179" t="s">
        <v>93</v>
      </c>
      <c r="E72" s="226">
        <v>9544</v>
      </c>
      <c r="F72" s="236">
        <v>7406</v>
      </c>
    </row>
    <row r="73" spans="1:6" ht="16.2" thickTop="1" thickBot="1" x14ac:dyDescent="0.4">
      <c r="A73" s="159"/>
      <c r="B73" s="226"/>
      <c r="C73" s="230"/>
      <c r="D73" s="171" t="s">
        <v>95</v>
      </c>
      <c r="E73" s="227"/>
      <c r="F73" s="227"/>
    </row>
    <row r="74" spans="1:6" ht="16.2" thickTop="1" thickBot="1" x14ac:dyDescent="0.4">
      <c r="A74" s="169" t="s">
        <v>94</v>
      </c>
      <c r="B74" s="227"/>
      <c r="C74" s="227"/>
      <c r="D74" s="183" t="s">
        <v>96</v>
      </c>
      <c r="E74" s="265"/>
      <c r="F74" s="266"/>
    </row>
    <row r="75" spans="1:6" ht="16.2" thickTop="1" thickBot="1" x14ac:dyDescent="0.4">
      <c r="A75" s="162"/>
      <c r="B75" s="232"/>
      <c r="C75" s="232"/>
      <c r="D75" s="179" t="s">
        <v>97</v>
      </c>
      <c r="E75" s="267"/>
      <c r="F75" s="268"/>
    </row>
    <row r="76" spans="1:6" ht="19.8" thickTop="1" thickBot="1" x14ac:dyDescent="0.45">
      <c r="A76" s="172" t="s">
        <v>98</v>
      </c>
      <c r="B76" s="234">
        <f>SUM(B13,B40,B71,B74)</f>
        <v>8387</v>
      </c>
      <c r="C76" s="235">
        <v>7306</v>
      </c>
      <c r="D76" s="172" t="s">
        <v>99</v>
      </c>
      <c r="E76" s="234">
        <v>8387</v>
      </c>
      <c r="F76" s="234">
        <v>7306</v>
      </c>
    </row>
    <row r="77" spans="1:6" ht="15.6" thickTop="1" x14ac:dyDescent="0.35">
      <c r="A77" s="409"/>
      <c r="B77" s="409"/>
      <c r="C77" s="409"/>
      <c r="D77" s="410"/>
      <c r="E77" s="410"/>
      <c r="F77" s="410"/>
    </row>
    <row r="78" spans="1:6" x14ac:dyDescent="0.35">
      <c r="A78" s="411"/>
      <c r="B78" s="411"/>
      <c r="C78" s="411"/>
      <c r="D78" s="411"/>
      <c r="E78" s="411"/>
      <c r="F78" s="411"/>
    </row>
    <row r="79" spans="1:6" x14ac:dyDescent="0.35">
      <c r="A79" s="412" t="s">
        <v>283</v>
      </c>
      <c r="B79" s="412"/>
      <c r="C79" s="412"/>
      <c r="D79" s="414"/>
      <c r="E79" s="414"/>
      <c r="F79" s="414"/>
    </row>
    <row r="80" spans="1:6" x14ac:dyDescent="0.35">
      <c r="A80" s="91">
        <f>+Съдържание!C6</f>
        <v>44312</v>
      </c>
      <c r="B80" s="414"/>
      <c r="C80" s="414"/>
      <c r="D80" s="414"/>
      <c r="E80" s="414"/>
      <c r="F80" s="414"/>
    </row>
    <row r="81" spans="1:6" x14ac:dyDescent="0.35">
      <c r="A81" s="414"/>
      <c r="B81" s="414"/>
      <c r="C81" s="414"/>
      <c r="D81" s="414"/>
      <c r="E81" s="414"/>
      <c r="F81" s="414"/>
    </row>
    <row r="82" spans="1:6" x14ac:dyDescent="0.35">
      <c r="A82" s="413" t="str">
        <f>+ОПР!A52</f>
        <v>Съставител:</v>
      </c>
      <c r="B82" s="413"/>
      <c r="C82" s="413"/>
      <c r="D82" s="412" t="str">
        <f>+ОПР!E52</f>
        <v>Ръководител:</v>
      </c>
      <c r="E82" s="412"/>
      <c r="F82" s="412"/>
    </row>
    <row r="83" spans="1:6" x14ac:dyDescent="0.35">
      <c r="A83" s="409" t="str">
        <f>+Съдържание!C11</f>
        <v>ЖАНА МИЛЧОВА ГЪЛЪБОВА</v>
      </c>
      <c r="B83" s="409"/>
      <c r="C83" s="409"/>
      <c r="D83" s="412" t="str">
        <f>+Съдържание!C10</f>
        <v>ДИМИТЪР ЙОРДАНОВ ИВАНОВ</v>
      </c>
      <c r="E83" s="412"/>
      <c r="F83" s="412"/>
    </row>
    <row r="84" spans="1:6" x14ac:dyDescent="0.35">
      <c r="A84" s="29"/>
      <c r="B84" s="29"/>
      <c r="C84" s="29"/>
    </row>
    <row r="85" spans="1:6" x14ac:dyDescent="0.35">
      <c r="A85" s="415"/>
      <c r="B85" s="415"/>
      <c r="C85" s="415"/>
    </row>
    <row r="86" spans="1:6" x14ac:dyDescent="0.35">
      <c r="A86" s="29"/>
      <c r="B86" s="29"/>
      <c r="C86" s="29"/>
    </row>
    <row r="87" spans="1:6" x14ac:dyDescent="0.35">
      <c r="A87" s="412"/>
      <c r="B87" s="412"/>
      <c r="C87" s="412"/>
    </row>
    <row r="88" spans="1:6" x14ac:dyDescent="0.35">
      <c r="A88" s="412"/>
      <c r="B88" s="412"/>
      <c r="C88" s="412"/>
    </row>
  </sheetData>
  <mergeCells count="33">
    <mergeCell ref="A87:C87"/>
    <mergeCell ref="A88:C88"/>
    <mergeCell ref="A83:C83"/>
    <mergeCell ref="A85:C85"/>
    <mergeCell ref="D83:F83"/>
    <mergeCell ref="A77:C77"/>
    <mergeCell ref="D77:F77"/>
    <mergeCell ref="A78:F78"/>
    <mergeCell ref="A79:C79"/>
    <mergeCell ref="A82:C82"/>
    <mergeCell ref="D82:F82"/>
    <mergeCell ref="A81:F81"/>
    <mergeCell ref="D79:F79"/>
    <mergeCell ref="D80:F80"/>
    <mergeCell ref="B80:C80"/>
    <mergeCell ref="A1:F1"/>
    <mergeCell ref="A3:F3"/>
    <mergeCell ref="A4:F4"/>
    <mergeCell ref="A6:F6"/>
    <mergeCell ref="A7:F7"/>
    <mergeCell ref="A5:C5"/>
    <mergeCell ref="D5:F5"/>
    <mergeCell ref="A2:F2"/>
    <mergeCell ref="A8:C8"/>
    <mergeCell ref="D8:F8"/>
    <mergeCell ref="A9:A11"/>
    <mergeCell ref="B9:C9"/>
    <mergeCell ref="D9:D11"/>
    <mergeCell ref="E9:F9"/>
    <mergeCell ref="B10:B11"/>
    <mergeCell ref="C10:C11"/>
    <mergeCell ref="E10:E11"/>
    <mergeCell ref="F10:F11"/>
  </mergeCells>
  <printOptions horizontalCentered="1"/>
  <pageMargins left="0.25" right="0.25" top="0.75" bottom="0.75" header="0.3" footer="0.3"/>
  <pageSetup scale="4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H91"/>
  <sheetViews>
    <sheetView showGridLines="0" topLeftCell="A10" zoomScale="85" zoomScaleNormal="85" workbookViewId="0">
      <selection activeCell="B25" sqref="B25"/>
    </sheetView>
  </sheetViews>
  <sheetFormatPr defaultColWidth="9.109375" defaultRowHeight="15" x14ac:dyDescent="0.35"/>
  <cols>
    <col min="1" max="1" width="59.6640625" style="26" customWidth="1"/>
    <col min="2" max="2" width="15.109375" style="26" customWidth="1"/>
    <col min="3" max="3" width="18.33203125" style="26" customWidth="1"/>
    <col min="4" max="4" width="60.44140625" style="26" customWidth="1"/>
    <col min="5" max="5" width="15.109375" style="26" bestFit="1" customWidth="1"/>
    <col min="6" max="6" width="18.33203125" style="26" customWidth="1"/>
    <col min="7" max="7" width="9.5546875" style="26" customWidth="1"/>
    <col min="8" max="8" width="9.109375" style="26" hidden="1" customWidth="1"/>
    <col min="9" max="9" width="9.109375" style="26" customWidth="1"/>
    <col min="10" max="16384" width="9.109375" style="26"/>
  </cols>
  <sheetData>
    <row r="1" spans="1:8" x14ac:dyDescent="0.35">
      <c r="A1" s="402"/>
      <c r="B1" s="402"/>
      <c r="C1" s="402"/>
      <c r="D1" s="402"/>
      <c r="E1" s="402"/>
      <c r="F1" s="402"/>
      <c r="H1" s="26">
        <v>3</v>
      </c>
    </row>
    <row r="2" spans="1:8" x14ac:dyDescent="0.35">
      <c r="A2" s="402" t="s">
        <v>288</v>
      </c>
      <c r="B2" s="402"/>
      <c r="C2" s="402"/>
      <c r="D2" s="402"/>
      <c r="E2" s="402"/>
      <c r="F2" s="402"/>
      <c r="H2" s="26">
        <v>3</v>
      </c>
    </row>
    <row r="3" spans="1:8" ht="18.600000000000001" x14ac:dyDescent="0.4">
      <c r="A3" s="403" t="str">
        <f>+СБ!A3</f>
        <v>СЧЕТОВОДЕН БАЛАНС</v>
      </c>
      <c r="B3" s="403"/>
      <c r="C3" s="403"/>
      <c r="D3" s="403"/>
      <c r="E3" s="403"/>
      <c r="F3" s="403"/>
      <c r="H3" s="26">
        <v>3</v>
      </c>
    </row>
    <row r="4" spans="1:8" ht="16.2" x14ac:dyDescent="0.35">
      <c r="A4" s="404" t="str">
        <f>+СБ!A4</f>
        <v>" КАМИБО " ЕООД</v>
      </c>
      <c r="B4" s="404"/>
      <c r="C4" s="404"/>
      <c r="D4" s="404"/>
      <c r="E4" s="404"/>
      <c r="F4" s="404"/>
      <c r="H4" s="26">
        <v>3</v>
      </c>
    </row>
    <row r="5" spans="1:8" x14ac:dyDescent="0.35">
      <c r="A5" s="416" t="str">
        <f>+Съдържание!C8</f>
        <v>ЕИК/ПИК: 131157890</v>
      </c>
      <c r="B5" s="416"/>
      <c r="C5" s="416"/>
      <c r="D5" s="408" t="str">
        <f>+Съдържание!C9</f>
        <v>гр. София 1220, ж.к. Надежда бл. 155, вх. В, ап. 71</v>
      </c>
      <c r="E5" s="408"/>
      <c r="F5" s="408"/>
      <c r="H5" s="26">
        <v>3</v>
      </c>
    </row>
    <row r="6" spans="1:8" ht="16.2" x14ac:dyDescent="0.35">
      <c r="A6" s="405" t="str">
        <f>+СБ!A6</f>
        <v>към 31.12.2020 година</v>
      </c>
      <c r="B6" s="405"/>
      <c r="C6" s="405"/>
      <c r="D6" s="405"/>
      <c r="E6" s="405"/>
      <c r="F6" s="405"/>
      <c r="H6" s="26">
        <v>3</v>
      </c>
    </row>
    <row r="7" spans="1:8" ht="15.6" thickBot="1" x14ac:dyDescent="0.4">
      <c r="A7" s="406"/>
      <c r="B7" s="406"/>
      <c r="C7" s="406"/>
      <c r="D7" s="406"/>
      <c r="E7" s="406"/>
      <c r="F7" s="406"/>
      <c r="H7" s="26">
        <v>3</v>
      </c>
    </row>
    <row r="8" spans="1:8" ht="16.2" thickTop="1" thickBot="1" x14ac:dyDescent="0.4">
      <c r="A8" s="396" t="s">
        <v>0</v>
      </c>
      <c r="B8" s="396"/>
      <c r="C8" s="396"/>
      <c r="D8" s="397" t="s">
        <v>1</v>
      </c>
      <c r="E8" s="397"/>
      <c r="F8" s="397"/>
      <c r="H8" s="26">
        <v>3</v>
      </c>
    </row>
    <row r="9" spans="1:8" ht="16.2" thickTop="1" thickBot="1" x14ac:dyDescent="0.4">
      <c r="A9" s="398" t="s">
        <v>2</v>
      </c>
      <c r="B9" s="399" t="s">
        <v>3</v>
      </c>
      <c r="C9" s="399"/>
      <c r="D9" s="400" t="s">
        <v>2</v>
      </c>
      <c r="E9" s="399" t="s">
        <v>3</v>
      </c>
      <c r="F9" s="399"/>
      <c r="H9" s="26">
        <v>3</v>
      </c>
    </row>
    <row r="10" spans="1:8" ht="16.2" thickTop="1" thickBot="1" x14ac:dyDescent="0.4">
      <c r="A10" s="398"/>
      <c r="B10" s="401" t="s">
        <v>4</v>
      </c>
      <c r="C10" s="401" t="s">
        <v>5</v>
      </c>
      <c r="D10" s="400"/>
      <c r="E10" s="401" t="s">
        <v>4</v>
      </c>
      <c r="F10" s="401" t="s">
        <v>5</v>
      </c>
      <c r="H10" s="26">
        <v>3</v>
      </c>
    </row>
    <row r="11" spans="1:8" ht="16.2" thickTop="1" thickBot="1" x14ac:dyDescent="0.4">
      <c r="A11" s="398"/>
      <c r="B11" s="401"/>
      <c r="C11" s="401"/>
      <c r="D11" s="400"/>
      <c r="E11" s="401"/>
      <c r="F11" s="401"/>
      <c r="H11" s="26">
        <v>3</v>
      </c>
    </row>
    <row r="12" spans="1:8" ht="16.2" thickTop="1" thickBot="1" x14ac:dyDescent="0.4">
      <c r="A12" s="27" t="s">
        <v>6</v>
      </c>
      <c r="B12" s="27">
        <v>1</v>
      </c>
      <c r="C12" s="27">
        <v>2</v>
      </c>
      <c r="D12" s="27" t="s">
        <v>6</v>
      </c>
      <c r="E12" s="27">
        <v>1</v>
      </c>
      <c r="F12" s="27">
        <v>2</v>
      </c>
      <c r="H12" s="28">
        <v>3</v>
      </c>
    </row>
    <row r="13" spans="1:8" ht="15.6" thickTop="1" x14ac:dyDescent="0.35">
      <c r="A13" s="30" t="s">
        <v>7</v>
      </c>
      <c r="B13" s="112">
        <f>+СБ!B13</f>
        <v>0</v>
      </c>
      <c r="C13" s="112">
        <f>+СБ!C13</f>
        <v>0</v>
      </c>
      <c r="D13" s="31" t="s">
        <v>8</v>
      </c>
      <c r="E13" s="112">
        <f>+СБ!E28</f>
        <v>-1158</v>
      </c>
      <c r="F13" s="113">
        <f>+СБ!F28</f>
        <v>-105</v>
      </c>
      <c r="H13" s="26">
        <v>1</v>
      </c>
    </row>
    <row r="14" spans="1:8" x14ac:dyDescent="0.35">
      <c r="A14" s="32" t="s">
        <v>9</v>
      </c>
      <c r="B14" s="56">
        <f>+СБ!B40</f>
        <v>1332</v>
      </c>
      <c r="C14" s="56">
        <f>+СБ!C40</f>
        <v>1332</v>
      </c>
      <c r="D14" s="33" t="s">
        <v>11</v>
      </c>
      <c r="E14" s="56">
        <f>+СБ!E14</f>
        <v>5</v>
      </c>
      <c r="F14" s="57">
        <f>+СБ!F14</f>
        <v>5</v>
      </c>
      <c r="H14" s="26">
        <v>1</v>
      </c>
    </row>
    <row r="15" spans="1:8" x14ac:dyDescent="0.35">
      <c r="A15" s="32" t="s">
        <v>10</v>
      </c>
      <c r="B15" s="56">
        <f>+СБ!B20</f>
        <v>0</v>
      </c>
      <c r="C15" s="56">
        <f>+СБ!C20</f>
        <v>0</v>
      </c>
      <c r="D15" s="33" t="s">
        <v>12</v>
      </c>
      <c r="E15" s="56">
        <f>+СБ!E15</f>
        <v>0</v>
      </c>
      <c r="F15" s="57">
        <f>+СБ!F15</f>
        <v>0</v>
      </c>
      <c r="H15" s="26">
        <v>2</v>
      </c>
    </row>
    <row r="16" spans="1:8" x14ac:dyDescent="0.35">
      <c r="A16" s="36" t="s">
        <v>25</v>
      </c>
      <c r="B16" s="56">
        <f>+СБ!B29</f>
        <v>46</v>
      </c>
      <c r="C16" s="56">
        <f>+СБ!C29</f>
        <v>46</v>
      </c>
      <c r="D16" s="33" t="s">
        <v>13</v>
      </c>
      <c r="E16" s="56">
        <f>+СБ!E16</f>
        <v>0</v>
      </c>
      <c r="F16" s="57">
        <f>+СБ!F16</f>
        <v>0</v>
      </c>
      <c r="H16" s="26">
        <v>2</v>
      </c>
    </row>
    <row r="17" spans="1:8" x14ac:dyDescent="0.35">
      <c r="A17" s="32" t="s">
        <v>37</v>
      </c>
      <c r="B17" s="56">
        <f>+СБ!B38</f>
        <v>1286</v>
      </c>
      <c r="C17" s="56">
        <f>+СБ!C38</f>
        <v>1286</v>
      </c>
      <c r="D17" s="33" t="s">
        <v>14</v>
      </c>
      <c r="E17" s="56">
        <f>+СБ!E22</f>
        <v>4602</v>
      </c>
      <c r="F17" s="57">
        <f>+СБ!F22</f>
        <v>4602</v>
      </c>
      <c r="H17" s="26">
        <v>2</v>
      </c>
    </row>
    <row r="18" spans="1:8" x14ac:dyDescent="0.35">
      <c r="A18" s="32" t="s">
        <v>54</v>
      </c>
      <c r="B18" s="56">
        <f>+СБ!B39</f>
        <v>0</v>
      </c>
      <c r="C18" s="56">
        <f>+СБ!C39</f>
        <v>0</v>
      </c>
      <c r="D18" s="37" t="s">
        <v>329</v>
      </c>
      <c r="E18" s="56">
        <f>+СБ!E26</f>
        <v>-4712</v>
      </c>
      <c r="F18" s="57">
        <f>+СБ!F26</f>
        <v>-3991</v>
      </c>
      <c r="H18" s="26">
        <v>2</v>
      </c>
    </row>
    <row r="19" spans="1:8" x14ac:dyDescent="0.35">
      <c r="A19" s="32" t="s">
        <v>53</v>
      </c>
      <c r="B19" s="56">
        <f>+СБ!B40</f>
        <v>1332</v>
      </c>
      <c r="C19" s="56">
        <f>+СБ!C40</f>
        <v>1332</v>
      </c>
      <c r="D19" s="33" t="s">
        <v>38</v>
      </c>
      <c r="E19" s="56">
        <f>+СБ!E27</f>
        <v>-1053</v>
      </c>
      <c r="F19" s="57">
        <f>+СБ!F27</f>
        <v>-721</v>
      </c>
      <c r="H19" s="26">
        <v>2</v>
      </c>
    </row>
    <row r="20" spans="1:8" x14ac:dyDescent="0.35">
      <c r="A20" s="32" t="s">
        <v>55</v>
      </c>
      <c r="B20" s="56">
        <f>+СБ!B71</f>
        <v>7055</v>
      </c>
      <c r="C20" s="56">
        <f>+СБ!C71</f>
        <v>5974</v>
      </c>
      <c r="D20" s="33" t="s">
        <v>39</v>
      </c>
      <c r="E20" s="56">
        <f>+СБ!E28</f>
        <v>-1158</v>
      </c>
      <c r="F20" s="57">
        <f>+СБ!F28</f>
        <v>-105</v>
      </c>
      <c r="H20" s="26">
        <v>1</v>
      </c>
    </row>
    <row r="21" spans="1:8" x14ac:dyDescent="0.35">
      <c r="A21" s="32" t="s">
        <v>57</v>
      </c>
      <c r="B21" s="56">
        <f>+СБ!B49</f>
        <v>743</v>
      </c>
      <c r="C21" s="56">
        <f>+СБ!C49</f>
        <v>1486</v>
      </c>
      <c r="D21" s="37" t="s">
        <v>40</v>
      </c>
      <c r="E21" s="56">
        <f>+СБ!E34</f>
        <v>0</v>
      </c>
      <c r="F21" s="57">
        <f>+СБ!F34</f>
        <v>0</v>
      </c>
      <c r="H21" s="26">
        <v>2</v>
      </c>
    </row>
    <row r="22" spans="1:8" x14ac:dyDescent="0.35">
      <c r="A22" s="32" t="s">
        <v>311</v>
      </c>
      <c r="B22" s="56">
        <f>+СБ!B59</f>
        <v>6297</v>
      </c>
      <c r="C22" s="56">
        <f>+СБ!C59</f>
        <v>4473</v>
      </c>
      <c r="D22" s="37" t="s">
        <v>53</v>
      </c>
      <c r="E22" s="56">
        <f>+СБ!E35</f>
        <v>0</v>
      </c>
      <c r="F22" s="57">
        <f>+СБ!F35</f>
        <v>0</v>
      </c>
      <c r="H22" s="26">
        <v>2</v>
      </c>
    </row>
    <row r="23" spans="1:8" x14ac:dyDescent="0.35">
      <c r="A23" s="223" t="str">
        <f>+СБ!A58</f>
        <v>над една година</v>
      </c>
      <c r="B23" s="56">
        <f>+СБ!B52+СБ!B54+СБ!B56+СБ!B58</f>
        <v>6294</v>
      </c>
      <c r="C23" s="56">
        <v>0</v>
      </c>
      <c r="D23" s="187" t="s">
        <v>56</v>
      </c>
      <c r="E23" s="188">
        <f>+СБ!E70</f>
        <v>9545</v>
      </c>
      <c r="F23" s="189">
        <f>+СБ!F70</f>
        <v>7411</v>
      </c>
      <c r="H23" s="26">
        <v>2</v>
      </c>
    </row>
    <row r="24" spans="1:8" x14ac:dyDescent="0.35">
      <c r="A24" s="323"/>
      <c r="B24" s="56"/>
      <c r="C24" s="56"/>
      <c r="D24" s="224" t="s">
        <v>92</v>
      </c>
      <c r="E24" s="188">
        <f>+СБ!E71</f>
        <v>1</v>
      </c>
      <c r="F24" s="189">
        <f>+СБ!F71</f>
        <v>5</v>
      </c>
    </row>
    <row r="25" spans="1:8" x14ac:dyDescent="0.35">
      <c r="A25" s="323"/>
      <c r="B25" s="56"/>
      <c r="C25" s="56"/>
      <c r="D25" s="224" t="s">
        <v>93</v>
      </c>
      <c r="E25" s="188">
        <f>+СБ!E72</f>
        <v>9544</v>
      </c>
      <c r="F25" s="189">
        <f>+СБ!F72</f>
        <v>7406</v>
      </c>
    </row>
    <row r="26" spans="1:8" x14ac:dyDescent="0.35">
      <c r="A26" s="40" t="s">
        <v>78</v>
      </c>
      <c r="B26" s="56">
        <f>+СБ!B64</f>
        <v>0</v>
      </c>
      <c r="C26" s="56">
        <f>+СБ!C64</f>
        <v>0</v>
      </c>
      <c r="H26" s="26">
        <v>1</v>
      </c>
    </row>
    <row r="27" spans="1:8" x14ac:dyDescent="0.35">
      <c r="A27" s="40" t="s">
        <v>312</v>
      </c>
      <c r="B27" s="56">
        <f>+СБ!B69</f>
        <v>15</v>
      </c>
      <c r="C27" s="56">
        <f>+СБ!C69</f>
        <v>15</v>
      </c>
      <c r="H27" s="26">
        <v>2</v>
      </c>
    </row>
    <row r="28" spans="1:8" x14ac:dyDescent="0.35">
      <c r="A28" s="32" t="s">
        <v>90</v>
      </c>
      <c r="B28" s="56">
        <f>+СБ!B71</f>
        <v>7055</v>
      </c>
      <c r="C28" s="56">
        <f>+СБ!C71</f>
        <v>5974</v>
      </c>
      <c r="D28" s="33" t="s">
        <v>90</v>
      </c>
      <c r="E28" s="188">
        <f>+СБ!E70</f>
        <v>9545</v>
      </c>
      <c r="F28" s="189">
        <f>+СБ!F70</f>
        <v>7411</v>
      </c>
      <c r="H28" s="26">
        <v>1</v>
      </c>
    </row>
    <row r="29" spans="1:8" x14ac:dyDescent="0.35">
      <c r="A29" s="222" t="s">
        <v>94</v>
      </c>
      <c r="B29" s="56">
        <f>+СБ!B74</f>
        <v>0</v>
      </c>
      <c r="C29" s="56">
        <f>+СБ!C74</f>
        <v>0</v>
      </c>
      <c r="D29" s="33" t="s">
        <v>328</v>
      </c>
      <c r="E29" s="188">
        <f>+СБ!E73</f>
        <v>0</v>
      </c>
      <c r="F29" s="189">
        <f>+СБ!F73</f>
        <v>0</v>
      </c>
      <c r="H29" s="26">
        <v>2</v>
      </c>
    </row>
    <row r="30" spans="1:8" x14ac:dyDescent="0.35">
      <c r="A30" s="263" t="s">
        <v>200</v>
      </c>
      <c r="B30" s="260"/>
      <c r="C30" s="260"/>
      <c r="D30" s="259" t="s">
        <v>200</v>
      </c>
      <c r="E30" s="260"/>
      <c r="F30" s="261"/>
      <c r="H30" s="26">
        <v>2</v>
      </c>
    </row>
    <row r="31" spans="1:8" x14ac:dyDescent="0.35">
      <c r="A31" s="263" t="s">
        <v>200</v>
      </c>
      <c r="B31" s="260"/>
      <c r="C31" s="260"/>
      <c r="D31" s="262" t="s">
        <v>200</v>
      </c>
      <c r="E31" s="320"/>
      <c r="F31" s="322"/>
      <c r="H31" s="26">
        <v>2</v>
      </c>
    </row>
    <row r="32" spans="1:8" x14ac:dyDescent="0.35">
      <c r="A32" s="264" t="s">
        <v>200</v>
      </c>
      <c r="B32" s="260"/>
      <c r="C32" s="260"/>
      <c r="D32" s="259" t="s">
        <v>200</v>
      </c>
      <c r="E32" s="319"/>
      <c r="F32" s="321"/>
      <c r="H32" s="26">
        <v>1</v>
      </c>
    </row>
    <row r="33" spans="1:8" ht="15.6" thickBot="1" x14ac:dyDescent="0.4">
      <c r="A33" s="41" t="s">
        <v>98</v>
      </c>
      <c r="B33" s="316">
        <f>+СБ!B76</f>
        <v>8387</v>
      </c>
      <c r="C33" s="316">
        <f>+СБ!C76</f>
        <v>7306</v>
      </c>
      <c r="D33" s="190" t="s">
        <v>99</v>
      </c>
      <c r="E33" s="317">
        <f>+СБ!E76</f>
        <v>8387</v>
      </c>
      <c r="F33" s="318">
        <f>+СБ!F76</f>
        <v>7306</v>
      </c>
      <c r="H33" s="26">
        <v>3</v>
      </c>
    </row>
    <row r="34" spans="1:8" ht="15.6" thickTop="1" x14ac:dyDescent="0.35">
      <c r="A34" s="417"/>
      <c r="B34" s="417"/>
      <c r="C34" s="417"/>
      <c r="D34" s="410"/>
      <c r="E34" s="410"/>
      <c r="F34" s="410"/>
      <c r="H34" s="26">
        <v>3</v>
      </c>
    </row>
    <row r="35" spans="1:8" x14ac:dyDescent="0.35">
      <c r="A35" s="414"/>
      <c r="B35" s="414"/>
      <c r="C35" s="414"/>
      <c r="D35" s="414"/>
      <c r="E35" s="414"/>
      <c r="F35" s="414"/>
      <c r="H35" s="26">
        <v>3</v>
      </c>
    </row>
    <row r="36" spans="1:8" x14ac:dyDescent="0.35">
      <c r="A36" s="414"/>
      <c r="B36" s="414"/>
      <c r="C36" s="414"/>
      <c r="D36" s="414"/>
      <c r="E36" s="414"/>
      <c r="F36" s="414"/>
      <c r="H36" s="26">
        <v>3</v>
      </c>
    </row>
    <row r="37" spans="1:8" x14ac:dyDescent="0.35">
      <c r="A37" s="412"/>
      <c r="B37" s="412"/>
      <c r="C37" s="412"/>
      <c r="D37" s="414"/>
      <c r="E37" s="414"/>
      <c r="F37" s="414"/>
      <c r="H37" s="26">
        <v>3</v>
      </c>
    </row>
    <row r="38" spans="1:8" x14ac:dyDescent="0.35">
      <c r="A38" s="91"/>
      <c r="H38" s="26">
        <v>3</v>
      </c>
    </row>
    <row r="39" spans="1:8" x14ac:dyDescent="0.35">
      <c r="A39" s="412"/>
      <c r="B39" s="412"/>
      <c r="C39" s="412"/>
      <c r="D39" s="412"/>
      <c r="E39" s="412"/>
      <c r="F39" s="412"/>
      <c r="H39" s="26">
        <v>3</v>
      </c>
    </row>
    <row r="40" spans="1:8" x14ac:dyDescent="0.35">
      <c r="A40" s="42"/>
      <c r="B40" s="42"/>
      <c r="C40" s="42"/>
      <c r="D40" s="412"/>
      <c r="E40" s="412"/>
      <c r="F40" s="412"/>
      <c r="H40" s="26">
        <v>3</v>
      </c>
    </row>
    <row r="41" spans="1:8" x14ac:dyDescent="0.35">
      <c r="H41" s="26">
        <v>3</v>
      </c>
    </row>
    <row r="42" spans="1:8" x14ac:dyDescent="0.35">
      <c r="H42" s="26">
        <v>3</v>
      </c>
    </row>
    <row r="43" spans="1:8" x14ac:dyDescent="0.35">
      <c r="H43" s="26">
        <v>3</v>
      </c>
    </row>
    <row r="44" spans="1:8" x14ac:dyDescent="0.35">
      <c r="H44" s="26">
        <v>3</v>
      </c>
    </row>
    <row r="45" spans="1:8" x14ac:dyDescent="0.35">
      <c r="H45" s="26">
        <v>3</v>
      </c>
    </row>
    <row r="46" spans="1:8" x14ac:dyDescent="0.35">
      <c r="A46" s="412" t="str">
        <f>+СБ!A79</f>
        <v>Дата на съставяне:</v>
      </c>
      <c r="B46" s="412"/>
      <c r="C46" s="412"/>
      <c r="H46" s="26">
        <v>3</v>
      </c>
    </row>
    <row r="47" spans="1:8" x14ac:dyDescent="0.35">
      <c r="A47" s="418">
        <f>+Съдържание!C6</f>
        <v>44312</v>
      </c>
      <c r="B47" s="418"/>
      <c r="C47" s="418"/>
      <c r="H47" s="26">
        <v>3</v>
      </c>
    </row>
    <row r="48" spans="1:8" x14ac:dyDescent="0.35">
      <c r="H48" s="26">
        <v>3</v>
      </c>
    </row>
    <row r="49" spans="1:8" x14ac:dyDescent="0.35">
      <c r="A49" s="412" t="str">
        <f>+СБ!A82</f>
        <v>Съставител:</v>
      </c>
      <c r="B49" s="412"/>
      <c r="C49" s="412"/>
      <c r="D49" s="412" t="str">
        <f>+СБ!D82</f>
        <v>Ръководител:</v>
      </c>
      <c r="E49" s="412"/>
      <c r="F49" s="412"/>
      <c r="H49" s="26">
        <v>3</v>
      </c>
    </row>
    <row r="50" spans="1:8" x14ac:dyDescent="0.35">
      <c r="A50" s="412" t="str">
        <f>+Съдържание!C11</f>
        <v>ЖАНА МИЛЧОВА ГЪЛЪБОВА</v>
      </c>
      <c r="B50" s="412"/>
      <c r="C50" s="412"/>
      <c r="D50" s="412" t="str">
        <f>+Съдържание!C10</f>
        <v>ДИМИТЪР ЙОРДАНОВ ИВАНОВ</v>
      </c>
      <c r="E50" s="412"/>
      <c r="F50" s="412"/>
      <c r="H50" s="26">
        <v>3</v>
      </c>
    </row>
    <row r="51" spans="1:8" x14ac:dyDescent="0.35">
      <c r="H51" s="26">
        <v>3</v>
      </c>
    </row>
    <row r="52" spans="1:8" x14ac:dyDescent="0.35">
      <c r="H52" s="26">
        <v>3</v>
      </c>
    </row>
    <row r="53" spans="1:8" hidden="1" x14ac:dyDescent="0.35"/>
    <row r="54" spans="1:8" hidden="1" x14ac:dyDescent="0.35"/>
    <row r="55" spans="1:8" hidden="1" x14ac:dyDescent="0.35"/>
    <row r="56" spans="1:8" hidden="1" x14ac:dyDescent="0.35"/>
    <row r="57" spans="1:8" hidden="1" x14ac:dyDescent="0.35"/>
    <row r="58" spans="1:8" hidden="1" x14ac:dyDescent="0.35"/>
    <row r="59" spans="1:8" hidden="1" x14ac:dyDescent="0.35"/>
    <row r="60" spans="1:8" hidden="1" x14ac:dyDescent="0.35"/>
    <row r="61" spans="1:8" hidden="1" x14ac:dyDescent="0.35"/>
    <row r="62" spans="1:8" hidden="1" x14ac:dyDescent="0.35"/>
    <row r="63" spans="1:8" hidden="1" x14ac:dyDescent="0.35"/>
    <row r="64" spans="1:8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hidden="1" x14ac:dyDescent="0.35"/>
    <row r="82" hidden="1" x14ac:dyDescent="0.35"/>
    <row r="83" hidden="1" x14ac:dyDescent="0.35"/>
    <row r="84" hidden="1" x14ac:dyDescent="0.35"/>
    <row r="85" hidden="1" x14ac:dyDescent="0.35"/>
    <row r="86" hidden="1" x14ac:dyDescent="0.35"/>
    <row r="87" hidden="1" x14ac:dyDescent="0.35"/>
    <row r="88" hidden="1" x14ac:dyDescent="0.35"/>
    <row r="89" hidden="1" x14ac:dyDescent="0.35"/>
    <row r="90" hidden="1" x14ac:dyDescent="0.35"/>
    <row r="91" hidden="1" x14ac:dyDescent="0.35"/>
  </sheetData>
  <autoFilter ref="H1:H52" xr:uid="{00000000-0009-0000-0000-000002000000}"/>
  <sortState xmlns:xlrd2="http://schemas.microsoft.com/office/spreadsheetml/2017/richdata2" ref="D13:F30">
    <sortCondition descending="1" sortBy="fontColor" ref="D13:D30" dxfId="5"/>
    <sortCondition descending="1" sortBy="fontColor" ref="E13:E30" dxfId="4"/>
    <sortCondition descending="1" sortBy="fontColor" ref="F13:F30" dxfId="3"/>
  </sortState>
  <mergeCells count="33">
    <mergeCell ref="A49:C49"/>
    <mergeCell ref="A50:C50"/>
    <mergeCell ref="A47:C47"/>
    <mergeCell ref="A46:C46"/>
    <mergeCell ref="D49:F49"/>
    <mergeCell ref="D50:F50"/>
    <mergeCell ref="A39:C39"/>
    <mergeCell ref="D39:F39"/>
    <mergeCell ref="D40:F40"/>
    <mergeCell ref="A5:C5"/>
    <mergeCell ref="D5:F5"/>
    <mergeCell ref="A37:C37"/>
    <mergeCell ref="D37:F37"/>
    <mergeCell ref="A35:F35"/>
    <mergeCell ref="A36:F36"/>
    <mergeCell ref="A34:C34"/>
    <mergeCell ref="D34:F34"/>
    <mergeCell ref="A8:C8"/>
    <mergeCell ref="D8:F8"/>
    <mergeCell ref="A9:A11"/>
    <mergeCell ref="B9:C9"/>
    <mergeCell ref="D9:D11"/>
    <mergeCell ref="A1:F1"/>
    <mergeCell ref="A3:F3"/>
    <mergeCell ref="A4:F4"/>
    <mergeCell ref="A6:F6"/>
    <mergeCell ref="A7:F7"/>
    <mergeCell ref="A2:F2"/>
    <mergeCell ref="E9:F9"/>
    <mergeCell ref="B10:B11"/>
    <mergeCell ref="C10:C11"/>
    <mergeCell ref="E10:E11"/>
    <mergeCell ref="F10:F11"/>
  </mergeCells>
  <pageMargins left="0.59055118110236215" right="0" top="0.9" bottom="0.35433070866141736" header="0.37" footer="0.19685039370078738"/>
  <pageSetup scale="4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>
    <pageSetUpPr fitToPage="1"/>
  </sheetPr>
  <dimension ref="A1:H72"/>
  <sheetViews>
    <sheetView topLeftCell="A4" zoomScale="80" zoomScaleNormal="80" workbookViewId="0">
      <selection activeCell="D25" sqref="D25"/>
    </sheetView>
  </sheetViews>
  <sheetFormatPr defaultColWidth="9.109375" defaultRowHeight="15" x14ac:dyDescent="0.35"/>
  <cols>
    <col min="1" max="1" width="59.6640625" style="26" customWidth="1"/>
    <col min="2" max="2" width="15.109375" style="26" customWidth="1"/>
    <col min="3" max="3" width="18.33203125" style="26" customWidth="1"/>
    <col min="4" max="4" width="60.44140625" style="26" customWidth="1"/>
    <col min="5" max="5" width="15.109375" style="26" customWidth="1"/>
    <col min="6" max="6" width="18.33203125" style="26" customWidth="1"/>
    <col min="7" max="7" width="9.5546875" style="26" customWidth="1"/>
    <col min="8" max="8" width="9.109375" style="26" hidden="1" customWidth="1"/>
    <col min="9" max="16384" width="9.109375" style="26"/>
  </cols>
  <sheetData>
    <row r="1" spans="1:8" x14ac:dyDescent="0.35">
      <c r="A1" s="402"/>
      <c r="B1" s="402"/>
      <c r="C1" s="402"/>
      <c r="D1" s="402"/>
      <c r="E1" s="402"/>
      <c r="F1" s="402"/>
      <c r="H1" s="26">
        <v>3</v>
      </c>
    </row>
    <row r="2" spans="1:8" x14ac:dyDescent="0.35">
      <c r="A2" s="334"/>
      <c r="B2" s="334"/>
      <c r="C2" s="334"/>
      <c r="D2" s="334"/>
      <c r="E2" s="334"/>
      <c r="F2" s="334"/>
    </row>
    <row r="3" spans="1:8" x14ac:dyDescent="0.35">
      <c r="A3" s="402" t="s">
        <v>288</v>
      </c>
      <c r="B3" s="402"/>
      <c r="C3" s="402"/>
      <c r="D3" s="402"/>
      <c r="E3" s="402"/>
      <c r="F3" s="402"/>
      <c r="H3" s="26">
        <v>3</v>
      </c>
    </row>
    <row r="4" spans="1:8" ht="18.600000000000001" x14ac:dyDescent="0.4">
      <c r="A4" s="403" t="str">
        <f>+СБ!A3</f>
        <v>СЧЕТОВОДЕН БАЛАНС</v>
      </c>
      <c r="B4" s="403"/>
      <c r="C4" s="403"/>
      <c r="D4" s="403"/>
      <c r="E4" s="403"/>
      <c r="F4" s="403"/>
      <c r="H4" s="26">
        <v>3</v>
      </c>
    </row>
    <row r="5" spans="1:8" ht="16.2" x14ac:dyDescent="0.35">
      <c r="A5" s="404" t="str">
        <f>+СБ!A4</f>
        <v>" КАМИБО " ЕООД</v>
      </c>
      <c r="B5" s="404"/>
      <c r="C5" s="404"/>
      <c r="D5" s="404"/>
      <c r="E5" s="404"/>
      <c r="F5" s="404"/>
      <c r="H5" s="26">
        <v>3</v>
      </c>
    </row>
    <row r="6" spans="1:8" x14ac:dyDescent="0.35">
      <c r="A6" s="416" t="str">
        <f>+Съдържание!C8</f>
        <v>ЕИК/ПИК: 131157890</v>
      </c>
      <c r="B6" s="416"/>
      <c r="C6" s="416"/>
      <c r="D6" s="408" t="str">
        <f>+Съдържание!C9</f>
        <v>гр. София 1220, ж.к. Надежда бл. 155, вх. В, ап. 71</v>
      </c>
      <c r="E6" s="408"/>
      <c r="F6" s="408"/>
      <c r="H6" s="26">
        <v>3</v>
      </c>
    </row>
    <row r="7" spans="1:8" ht="16.2" x14ac:dyDescent="0.35">
      <c r="A7" s="405" t="str">
        <f>+СБ!A6</f>
        <v>към 31.12.2020 година</v>
      </c>
      <c r="B7" s="405"/>
      <c r="C7" s="405"/>
      <c r="D7" s="405"/>
      <c r="E7" s="405"/>
      <c r="F7" s="405"/>
      <c r="H7" s="26">
        <v>3</v>
      </c>
    </row>
    <row r="8" spans="1:8" ht="15.6" thickBot="1" x14ac:dyDescent="0.4">
      <c r="A8" s="419"/>
      <c r="B8" s="419"/>
      <c r="C8" s="419"/>
      <c r="D8" s="419"/>
      <c r="E8" s="419"/>
      <c r="F8" s="419"/>
      <c r="H8" s="26">
        <v>3</v>
      </c>
    </row>
    <row r="9" spans="1:8" ht="15.6" thickBot="1" x14ac:dyDescent="0.4">
      <c r="A9" s="420" t="s">
        <v>0</v>
      </c>
      <c r="B9" s="421"/>
      <c r="C9" s="421"/>
      <c r="D9" s="422" t="s">
        <v>1</v>
      </c>
      <c r="E9" s="422"/>
      <c r="F9" s="423"/>
      <c r="H9" s="26">
        <v>3</v>
      </c>
    </row>
    <row r="10" spans="1:8" ht="16.2" thickTop="1" thickBot="1" x14ac:dyDescent="0.4">
      <c r="A10" s="424" t="s">
        <v>2</v>
      </c>
      <c r="B10" s="425" t="s">
        <v>3</v>
      </c>
      <c r="C10" s="425"/>
      <c r="D10" s="426" t="s">
        <v>2</v>
      </c>
      <c r="E10" s="425" t="s">
        <v>3</v>
      </c>
      <c r="F10" s="427"/>
      <c r="H10" s="26">
        <v>3</v>
      </c>
    </row>
    <row r="11" spans="1:8" ht="16.2" thickTop="1" thickBot="1" x14ac:dyDescent="0.4">
      <c r="A11" s="424"/>
      <c r="B11" s="428" t="s">
        <v>4</v>
      </c>
      <c r="C11" s="428" t="s">
        <v>5</v>
      </c>
      <c r="D11" s="426"/>
      <c r="E11" s="428" t="s">
        <v>4</v>
      </c>
      <c r="F11" s="429" t="s">
        <v>5</v>
      </c>
      <c r="H11" s="26">
        <v>3</v>
      </c>
    </row>
    <row r="12" spans="1:8" ht="16.2" thickTop="1" thickBot="1" x14ac:dyDescent="0.4">
      <c r="A12" s="424"/>
      <c r="B12" s="428"/>
      <c r="C12" s="428"/>
      <c r="D12" s="426"/>
      <c r="E12" s="428"/>
      <c r="F12" s="429"/>
      <c r="H12" s="26">
        <v>3</v>
      </c>
    </row>
    <row r="13" spans="1:8" ht="16.2" thickTop="1" thickBot="1" x14ac:dyDescent="0.4">
      <c r="A13" s="371" t="s">
        <v>6</v>
      </c>
      <c r="B13" s="335">
        <v>1</v>
      </c>
      <c r="C13" s="335">
        <v>2</v>
      </c>
      <c r="D13" s="335" t="s">
        <v>6</v>
      </c>
      <c r="E13" s="335">
        <v>1</v>
      </c>
      <c r="F13" s="372">
        <v>2</v>
      </c>
      <c r="H13" s="28">
        <v>3</v>
      </c>
    </row>
    <row r="14" spans="1:8" ht="15.6" thickTop="1" x14ac:dyDescent="0.35">
      <c r="A14" s="373" t="s">
        <v>7</v>
      </c>
      <c r="B14" s="112">
        <f>СБ!B13</f>
        <v>0</v>
      </c>
      <c r="C14" s="112">
        <f>СБ!C13</f>
        <v>0</v>
      </c>
      <c r="D14" s="31" t="s">
        <v>8</v>
      </c>
      <c r="E14" s="112">
        <f>СБ!E28</f>
        <v>-1158</v>
      </c>
      <c r="F14" s="374">
        <f>СБ!F28</f>
        <v>-105</v>
      </c>
      <c r="H14" s="26">
        <v>1</v>
      </c>
    </row>
    <row r="15" spans="1:8" x14ac:dyDescent="0.35">
      <c r="A15" s="375" t="s">
        <v>9</v>
      </c>
      <c r="B15" s="56">
        <f>СБ!B40</f>
        <v>1332</v>
      </c>
      <c r="C15" s="56">
        <f>СБ!C40</f>
        <v>1332</v>
      </c>
      <c r="D15" s="37" t="s">
        <v>40</v>
      </c>
      <c r="E15" s="56">
        <f>СБ!E34</f>
        <v>0</v>
      </c>
      <c r="F15" s="376">
        <f>СБ!F34</f>
        <v>0</v>
      </c>
      <c r="H15" s="26">
        <v>1</v>
      </c>
    </row>
    <row r="16" spans="1:8" x14ac:dyDescent="0.35">
      <c r="A16" s="375" t="s">
        <v>55</v>
      </c>
      <c r="B16" s="56">
        <f>СБ!B71</f>
        <v>7055</v>
      </c>
      <c r="C16" s="56">
        <f>СБ!C71</f>
        <v>5974</v>
      </c>
      <c r="D16" s="187" t="s">
        <v>56</v>
      </c>
      <c r="E16" s="56">
        <f>СБ!E70</f>
        <v>9545</v>
      </c>
      <c r="F16" s="376">
        <f>СБ!F70</f>
        <v>7411</v>
      </c>
      <c r="H16" s="26">
        <v>1</v>
      </c>
    </row>
    <row r="17" spans="1:8" x14ac:dyDescent="0.35">
      <c r="A17" s="377" t="s">
        <v>94</v>
      </c>
      <c r="B17" s="56">
        <f>СБ!B74</f>
        <v>0</v>
      </c>
      <c r="C17" s="56">
        <f>СБ!C74</f>
        <v>0</v>
      </c>
      <c r="D17" s="33" t="s">
        <v>328</v>
      </c>
      <c r="E17" s="188">
        <f>СБ!E73</f>
        <v>0</v>
      </c>
      <c r="F17" s="378">
        <f>СБ!F73</f>
        <v>0</v>
      </c>
      <c r="H17" s="26">
        <v>2</v>
      </c>
    </row>
    <row r="18" spans="1:8" x14ac:dyDescent="0.35">
      <c r="A18" s="379" t="s">
        <v>200</v>
      </c>
      <c r="B18" s="260"/>
      <c r="C18" s="260"/>
      <c r="D18" s="259" t="s">
        <v>200</v>
      </c>
      <c r="E18" s="319"/>
      <c r="F18" s="380"/>
      <c r="H18" s="26">
        <v>1</v>
      </c>
    </row>
    <row r="19" spans="1:8" ht="15.6" thickBot="1" x14ac:dyDescent="0.4">
      <c r="A19" s="381" t="s">
        <v>98</v>
      </c>
      <c r="B19" s="382">
        <f>SUM(B14:B17)</f>
        <v>8387</v>
      </c>
      <c r="C19" s="382">
        <f>SUM(C14:C17)</f>
        <v>7306</v>
      </c>
      <c r="D19" s="383" t="s">
        <v>99</v>
      </c>
      <c r="E19" s="384">
        <f>SUM(E14:E17)</f>
        <v>8387</v>
      </c>
      <c r="F19" s="385">
        <f>SUM(F14:F17)</f>
        <v>7306</v>
      </c>
      <c r="H19" s="26">
        <v>3</v>
      </c>
    </row>
    <row r="20" spans="1:8" x14ac:dyDescent="0.35">
      <c r="A20" s="430"/>
      <c r="B20" s="430"/>
      <c r="C20" s="430"/>
      <c r="D20" s="410"/>
      <c r="E20" s="410"/>
      <c r="F20" s="410"/>
      <c r="H20" s="26">
        <v>3</v>
      </c>
    </row>
    <row r="21" spans="1:8" x14ac:dyDescent="0.35">
      <c r="A21" s="412" t="s">
        <v>360</v>
      </c>
      <c r="B21" s="412"/>
      <c r="C21" s="412"/>
      <c r="D21" s="412"/>
      <c r="E21" s="412"/>
      <c r="F21" s="412"/>
      <c r="H21" s="26">
        <v>3</v>
      </c>
    </row>
    <row r="22" spans="1:8" x14ac:dyDescent="0.35">
      <c r="A22" s="26" t="s">
        <v>361</v>
      </c>
      <c r="H22" s="26">
        <v>3</v>
      </c>
    </row>
    <row r="23" spans="1:8" x14ac:dyDescent="0.35">
      <c r="A23" s="26" t="s">
        <v>362</v>
      </c>
      <c r="H23" s="26">
        <v>3</v>
      </c>
    </row>
    <row r="27" spans="1:8" x14ac:dyDescent="0.35">
      <c r="A27" s="412" t="str">
        <f>+СБ!A79</f>
        <v>Дата на съставяне:</v>
      </c>
      <c r="B27" s="412"/>
      <c r="C27" s="412"/>
      <c r="H27" s="26">
        <v>3</v>
      </c>
    </row>
    <row r="28" spans="1:8" x14ac:dyDescent="0.35">
      <c r="A28" s="418">
        <f>+Съдържание!C6</f>
        <v>44312</v>
      </c>
      <c r="B28" s="418"/>
      <c r="C28" s="418"/>
      <c r="H28" s="26">
        <v>3</v>
      </c>
    </row>
    <row r="29" spans="1:8" x14ac:dyDescent="0.35">
      <c r="H29" s="26">
        <v>3</v>
      </c>
    </row>
    <row r="30" spans="1:8" x14ac:dyDescent="0.35">
      <c r="A30" s="412" t="str">
        <f>+СБ!A82</f>
        <v>Съставител:</v>
      </c>
      <c r="B30" s="412"/>
      <c r="C30" s="412"/>
      <c r="D30" s="412" t="str">
        <f>+СБ!D82</f>
        <v>Ръководител:</v>
      </c>
      <c r="E30" s="412"/>
      <c r="F30" s="412"/>
      <c r="H30" s="26">
        <v>3</v>
      </c>
    </row>
    <row r="31" spans="1:8" x14ac:dyDescent="0.35">
      <c r="A31" s="412" t="str">
        <f>+Съдържание!C11</f>
        <v>ЖАНА МИЛЧОВА ГЪЛЪБОВА</v>
      </c>
      <c r="B31" s="412"/>
      <c r="C31" s="412"/>
      <c r="D31" s="412" t="str">
        <f>+Съдържание!C10</f>
        <v>ДИМИТЪР ЙОРДАНОВ ИВАНОВ</v>
      </c>
      <c r="E31" s="412"/>
      <c r="F31" s="412"/>
      <c r="H31" s="26">
        <v>3</v>
      </c>
    </row>
    <row r="32" spans="1:8" x14ac:dyDescent="0.35">
      <c r="H32" s="26">
        <v>3</v>
      </c>
    </row>
    <row r="33" spans="8:8" x14ac:dyDescent="0.35">
      <c r="H33" s="26">
        <v>3</v>
      </c>
    </row>
    <row r="34" spans="8:8" hidden="1" x14ac:dyDescent="0.35"/>
    <row r="35" spans="8:8" hidden="1" x14ac:dyDescent="0.35"/>
    <row r="36" spans="8:8" hidden="1" x14ac:dyDescent="0.35"/>
    <row r="37" spans="8:8" hidden="1" x14ac:dyDescent="0.35"/>
    <row r="38" spans="8:8" hidden="1" x14ac:dyDescent="0.35"/>
    <row r="39" spans="8:8" hidden="1" x14ac:dyDescent="0.35"/>
    <row r="40" spans="8:8" hidden="1" x14ac:dyDescent="0.35"/>
    <row r="41" spans="8:8" hidden="1" x14ac:dyDescent="0.35"/>
    <row r="42" spans="8:8" hidden="1" x14ac:dyDescent="0.35"/>
    <row r="43" spans="8:8" hidden="1" x14ac:dyDescent="0.35"/>
    <row r="44" spans="8:8" hidden="1" x14ac:dyDescent="0.35"/>
    <row r="45" spans="8:8" hidden="1" x14ac:dyDescent="0.35"/>
    <row r="46" spans="8:8" hidden="1" x14ac:dyDescent="0.35"/>
    <row r="47" spans="8:8" hidden="1" x14ac:dyDescent="0.35"/>
    <row r="48" spans="8: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</sheetData>
  <autoFilter ref="H1:H33" xr:uid="{00000000-0009-0000-0000-000003000000}">
    <filterColumn colId="0">
      <filters>
        <filter val="1"/>
        <filter val="3"/>
      </filters>
    </filterColumn>
  </autoFilter>
  <mergeCells count="27">
    <mergeCell ref="A28:C28"/>
    <mergeCell ref="A30:C30"/>
    <mergeCell ref="D30:F30"/>
    <mergeCell ref="A31:C31"/>
    <mergeCell ref="D31:F31"/>
    <mergeCell ref="A27:C27"/>
    <mergeCell ref="E11:E12"/>
    <mergeCell ref="F11:F12"/>
    <mergeCell ref="A20:C20"/>
    <mergeCell ref="D20:F20"/>
    <mergeCell ref="A21:F21"/>
    <mergeCell ref="A7:F7"/>
    <mergeCell ref="A8:F8"/>
    <mergeCell ref="A9:C9"/>
    <mergeCell ref="D9:F9"/>
    <mergeCell ref="A10:A12"/>
    <mergeCell ref="B10:C10"/>
    <mergeCell ref="D10:D12"/>
    <mergeCell ref="E10:F10"/>
    <mergeCell ref="B11:B12"/>
    <mergeCell ref="C11:C12"/>
    <mergeCell ref="A1:F1"/>
    <mergeCell ref="A3:F3"/>
    <mergeCell ref="A4:F4"/>
    <mergeCell ref="A5:F5"/>
    <mergeCell ref="A6:C6"/>
    <mergeCell ref="D6:F6"/>
  </mergeCells>
  <printOptions horizontalCentered="1"/>
  <pageMargins left="0.59055118110236215" right="0.19685039370078738" top="0.39370078740157477" bottom="0.35433070866141736" header="0.82677165354330706" footer="0.19685039370078738"/>
  <pageSetup paperSize="9" scale="7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I31"/>
  <sheetViews>
    <sheetView topLeftCell="A10" workbookViewId="0">
      <selection activeCell="E24" sqref="E24:G24"/>
    </sheetView>
  </sheetViews>
  <sheetFormatPr defaultColWidth="9.109375" defaultRowHeight="15" x14ac:dyDescent="0.35"/>
  <cols>
    <col min="1" max="1" width="54" style="26" customWidth="1"/>
    <col min="2" max="2" width="15.109375" style="26" customWidth="1"/>
    <col min="3" max="3" width="16.5546875" style="26" customWidth="1"/>
    <col min="4" max="4" width="2.6640625" style="26" customWidth="1"/>
    <col min="5" max="5" width="44.88671875" style="26" customWidth="1"/>
    <col min="6" max="6" width="15.109375" style="26" customWidth="1"/>
    <col min="7" max="7" width="17.33203125" style="26" customWidth="1"/>
    <col min="8" max="8" width="9.109375" style="26"/>
    <col min="9" max="9" width="9.109375" style="26" hidden="1" customWidth="1"/>
    <col min="10" max="16384" width="9.109375" style="26"/>
  </cols>
  <sheetData>
    <row r="1" spans="1:9" x14ac:dyDescent="0.35">
      <c r="A1" s="402"/>
      <c r="B1" s="402"/>
      <c r="C1" s="402"/>
      <c r="D1" s="402"/>
      <c r="E1" s="402"/>
      <c r="F1" s="402"/>
      <c r="G1" s="402"/>
      <c r="I1" s="26">
        <v>1</v>
      </c>
    </row>
    <row r="2" spans="1:9" x14ac:dyDescent="0.35">
      <c r="A2" s="402" t="s">
        <v>288</v>
      </c>
      <c r="B2" s="402"/>
      <c r="C2" s="402"/>
      <c r="D2" s="402"/>
      <c r="E2" s="402"/>
      <c r="F2" s="402"/>
      <c r="G2" s="402"/>
      <c r="I2" s="26">
        <v>1</v>
      </c>
    </row>
    <row r="3" spans="1:9" ht="18.600000000000001" x14ac:dyDescent="0.4">
      <c r="A3" s="403" t="s">
        <v>201</v>
      </c>
      <c r="B3" s="403"/>
      <c r="C3" s="403"/>
      <c r="D3" s="403"/>
      <c r="E3" s="403"/>
      <c r="F3" s="403"/>
      <c r="G3" s="403"/>
      <c r="I3" s="26">
        <v>1</v>
      </c>
    </row>
    <row r="4" spans="1:9" ht="16.2" x14ac:dyDescent="0.35">
      <c r="A4" s="404" t="str">
        <f>+Съдържание!C7</f>
        <v>" КАМИБО " ЕООД</v>
      </c>
      <c r="B4" s="404"/>
      <c r="C4" s="404"/>
      <c r="D4" s="404"/>
      <c r="E4" s="404"/>
      <c r="F4" s="404"/>
      <c r="G4" s="404"/>
      <c r="I4" s="26">
        <v>1</v>
      </c>
    </row>
    <row r="5" spans="1:9" x14ac:dyDescent="0.35">
      <c r="A5" s="415" t="str">
        <f>+Съдържание!C8</f>
        <v>ЕИК/ПИК: 131157890</v>
      </c>
      <c r="B5" s="415"/>
      <c r="C5" s="415"/>
      <c r="D5" s="44"/>
      <c r="E5" s="408" t="str">
        <f>+Съдържание!C9</f>
        <v>гр. София 1220, ж.к. Надежда бл. 155, вх. В, ап. 71</v>
      </c>
      <c r="F5" s="408"/>
      <c r="G5" s="408"/>
      <c r="I5" s="26">
        <v>1</v>
      </c>
    </row>
    <row r="6" spans="1:9" ht="16.2" x14ac:dyDescent="0.35">
      <c r="A6" s="404" t="s">
        <v>372</v>
      </c>
      <c r="B6" s="404"/>
      <c r="C6" s="404"/>
      <c r="D6" s="404"/>
      <c r="E6" s="404"/>
      <c r="F6" s="404"/>
      <c r="G6" s="404"/>
      <c r="I6" s="26">
        <v>1</v>
      </c>
    </row>
    <row r="7" spans="1:9" ht="15.6" thickBot="1" x14ac:dyDescent="0.4">
      <c r="G7" s="244" t="s">
        <v>101</v>
      </c>
      <c r="I7" s="26">
        <v>1</v>
      </c>
    </row>
    <row r="8" spans="1:9" ht="16.2" thickTop="1" thickBot="1" x14ac:dyDescent="0.4">
      <c r="A8" s="431" t="s">
        <v>202</v>
      </c>
      <c r="B8" s="432" t="s">
        <v>203</v>
      </c>
      <c r="C8" s="432"/>
      <c r="E8" s="433" t="s">
        <v>204</v>
      </c>
      <c r="F8" s="434" t="s">
        <v>203</v>
      </c>
      <c r="G8" s="435"/>
      <c r="I8" s="26">
        <v>1</v>
      </c>
    </row>
    <row r="9" spans="1:9" ht="16.2" thickTop="1" thickBot="1" x14ac:dyDescent="0.4">
      <c r="A9" s="431"/>
      <c r="B9" s="436" t="s">
        <v>4</v>
      </c>
      <c r="C9" s="436" t="s">
        <v>5</v>
      </c>
      <c r="E9" s="433"/>
      <c r="F9" s="436" t="s">
        <v>4</v>
      </c>
      <c r="G9" s="436" t="s">
        <v>5</v>
      </c>
      <c r="I9" s="26">
        <v>1</v>
      </c>
    </row>
    <row r="10" spans="1:9" ht="16.2" thickTop="1" thickBot="1" x14ac:dyDescent="0.4">
      <c r="A10" s="431"/>
      <c r="B10" s="436"/>
      <c r="C10" s="436"/>
      <c r="E10" s="433"/>
      <c r="F10" s="436"/>
      <c r="G10" s="436"/>
      <c r="I10" s="26">
        <v>1</v>
      </c>
    </row>
    <row r="11" spans="1:9" ht="16.2" thickTop="1" thickBot="1" x14ac:dyDescent="0.4">
      <c r="A11" s="336">
        <v>1</v>
      </c>
      <c r="B11" s="336">
        <v>2</v>
      </c>
      <c r="C11" s="336">
        <v>3</v>
      </c>
      <c r="E11" s="336">
        <v>1</v>
      </c>
      <c r="F11" s="336">
        <v>2</v>
      </c>
      <c r="G11" s="336">
        <v>3</v>
      </c>
      <c r="I11" s="26">
        <v>1</v>
      </c>
    </row>
    <row r="12" spans="1:9" ht="15.6" thickTop="1" x14ac:dyDescent="0.35">
      <c r="A12" s="30" t="s">
        <v>205</v>
      </c>
      <c r="B12" s="194"/>
      <c r="C12" s="195"/>
      <c r="E12" s="30" t="s">
        <v>206</v>
      </c>
      <c r="F12" s="194"/>
      <c r="G12" s="195"/>
      <c r="I12" s="26">
        <v>1</v>
      </c>
    </row>
    <row r="13" spans="1:9" x14ac:dyDescent="0.35">
      <c r="A13" s="139" t="s">
        <v>313</v>
      </c>
      <c r="B13" s="196">
        <v>211</v>
      </c>
      <c r="C13" s="197">
        <v>274</v>
      </c>
      <c r="E13" s="204" t="s">
        <v>261</v>
      </c>
      <c r="F13" s="196"/>
      <c r="G13" s="197"/>
    </row>
    <row r="14" spans="1:9" x14ac:dyDescent="0.35">
      <c r="A14" s="36" t="s">
        <v>314</v>
      </c>
      <c r="B14" s="196">
        <v>107</v>
      </c>
      <c r="C14" s="197">
        <v>124</v>
      </c>
      <c r="E14" s="326" t="s">
        <v>319</v>
      </c>
      <c r="F14" s="324"/>
      <c r="G14" s="325">
        <v>188</v>
      </c>
    </row>
    <row r="15" spans="1:9" x14ac:dyDescent="0.35">
      <c r="A15" s="204" t="s">
        <v>315</v>
      </c>
      <c r="B15" s="196"/>
      <c r="C15" s="197">
        <v>26</v>
      </c>
      <c r="E15" s="327" t="s">
        <v>358</v>
      </c>
      <c r="F15" s="328">
        <v>82</v>
      </c>
      <c r="G15" s="328">
        <v>79</v>
      </c>
    </row>
    <row r="16" spans="1:9" x14ac:dyDescent="0.35">
      <c r="A16" s="205" t="s">
        <v>316</v>
      </c>
      <c r="B16" s="196">
        <v>745</v>
      </c>
      <c r="C16" s="197">
        <v>529</v>
      </c>
      <c r="E16" s="327"/>
      <c r="F16" s="328"/>
      <c r="G16" s="328"/>
    </row>
    <row r="17" spans="1:9" x14ac:dyDescent="0.35">
      <c r="A17" s="203" t="s">
        <v>359</v>
      </c>
      <c r="B17" s="196">
        <v>72</v>
      </c>
      <c r="C17" s="197">
        <v>35</v>
      </c>
      <c r="E17" s="370"/>
      <c r="F17" s="328"/>
      <c r="G17" s="328"/>
    </row>
    <row r="18" spans="1:9" x14ac:dyDescent="0.35">
      <c r="A18" s="32" t="s">
        <v>297</v>
      </c>
      <c r="B18" s="196">
        <v>1135</v>
      </c>
      <c r="C18" s="196">
        <v>988</v>
      </c>
      <c r="E18" s="331" t="s">
        <v>298</v>
      </c>
      <c r="F18" s="332">
        <v>82</v>
      </c>
      <c r="G18" s="333">
        <v>267</v>
      </c>
    </row>
    <row r="19" spans="1:9" x14ac:dyDescent="0.35">
      <c r="A19" s="32" t="s">
        <v>317</v>
      </c>
      <c r="B19" s="196"/>
      <c r="C19" s="197"/>
      <c r="E19" s="329" t="s">
        <v>200</v>
      </c>
      <c r="F19" s="387"/>
      <c r="G19" s="330"/>
    </row>
    <row r="20" spans="1:9" ht="15.6" thickBot="1" x14ac:dyDescent="0.4">
      <c r="A20" s="140" t="s">
        <v>325</v>
      </c>
      <c r="B20" s="200"/>
      <c r="C20" s="201"/>
      <c r="E20" s="141" t="s">
        <v>326</v>
      </c>
      <c r="F20" s="386">
        <v>1053</v>
      </c>
      <c r="G20" s="201">
        <v>721</v>
      </c>
    </row>
    <row r="21" spans="1:9" ht="16.2" thickTop="1" thickBot="1" x14ac:dyDescent="0.4">
      <c r="A21" s="337" t="s">
        <v>327</v>
      </c>
      <c r="B21" s="338">
        <v>1135</v>
      </c>
      <c r="C21" s="339">
        <v>988</v>
      </c>
      <c r="E21" s="340" t="s">
        <v>327</v>
      </c>
      <c r="F21" s="338">
        <v>1135</v>
      </c>
      <c r="G21" s="339">
        <v>988</v>
      </c>
      <c r="I21" s="26">
        <v>1</v>
      </c>
    </row>
    <row r="22" spans="1:9" ht="15.6" thickTop="1" x14ac:dyDescent="0.35">
      <c r="A22" s="409"/>
      <c r="B22" s="409"/>
      <c r="C22" s="409"/>
      <c r="E22" s="437"/>
      <c r="F22" s="437"/>
      <c r="G22" s="437"/>
      <c r="I22" s="26">
        <v>1</v>
      </c>
    </row>
    <row r="23" spans="1:9" x14ac:dyDescent="0.35">
      <c r="A23" s="414"/>
      <c r="B23" s="414"/>
      <c r="C23" s="414"/>
      <c r="E23" s="414"/>
      <c r="F23" s="414"/>
      <c r="G23" s="414"/>
      <c r="I23" s="26">
        <v>1</v>
      </c>
    </row>
    <row r="24" spans="1:9" x14ac:dyDescent="0.35">
      <c r="A24" s="412" t="str">
        <f>+ОПР!A49</f>
        <v>Дата на съставяне:</v>
      </c>
      <c r="B24" s="412"/>
      <c r="C24" s="412"/>
      <c r="E24" s="414"/>
      <c r="F24" s="414"/>
      <c r="G24" s="414"/>
      <c r="I24" s="26">
        <v>1</v>
      </c>
    </row>
    <row r="25" spans="1:9" x14ac:dyDescent="0.35">
      <c r="A25" s="418">
        <f>+ОПР!A50</f>
        <v>44312</v>
      </c>
      <c r="B25" s="418"/>
      <c r="C25" s="418"/>
      <c r="E25" s="414"/>
      <c r="F25" s="414"/>
      <c r="G25" s="414"/>
      <c r="I25" s="26">
        <v>1</v>
      </c>
    </row>
    <row r="26" spans="1:9" x14ac:dyDescent="0.35">
      <c r="A26" s="91"/>
      <c r="B26" s="91"/>
      <c r="C26" s="91"/>
      <c r="E26" s="29"/>
      <c r="F26" s="29"/>
      <c r="G26" s="29"/>
      <c r="I26" s="26">
        <v>1</v>
      </c>
    </row>
    <row r="27" spans="1:9" x14ac:dyDescent="0.35">
      <c r="A27" s="412" t="s">
        <v>259</v>
      </c>
      <c r="B27" s="412"/>
      <c r="C27" s="412"/>
      <c r="E27" s="412" t="s">
        <v>260</v>
      </c>
      <c r="F27" s="412"/>
      <c r="G27" s="412"/>
      <c r="I27" s="26">
        <v>1</v>
      </c>
    </row>
    <row r="28" spans="1:9" x14ac:dyDescent="0.35">
      <c r="A28" s="412" t="str">
        <f>+ОПР!A53</f>
        <v>ЖАНА МИЛЧОВА ГЪЛЪБОВА</v>
      </c>
      <c r="B28" s="412"/>
      <c r="C28" s="412"/>
      <c r="E28" s="412" t="str">
        <f>+ОПР!E53</f>
        <v>ДИМИТЪР ЙОРДАНОВ ИВАНОВ</v>
      </c>
      <c r="F28" s="412"/>
      <c r="G28" s="412"/>
      <c r="I28" s="26">
        <v>1</v>
      </c>
    </row>
    <row r="29" spans="1:9" x14ac:dyDescent="0.35">
      <c r="I29" s="26">
        <v>1</v>
      </c>
    </row>
    <row r="30" spans="1:9" x14ac:dyDescent="0.35">
      <c r="I30" s="26">
        <v>1</v>
      </c>
    </row>
    <row r="31" spans="1:9" x14ac:dyDescent="0.35">
      <c r="I31" s="26">
        <v>1</v>
      </c>
    </row>
  </sheetData>
  <mergeCells count="27">
    <mergeCell ref="A25:C25"/>
    <mergeCell ref="E25:G25"/>
    <mergeCell ref="A27:C27"/>
    <mergeCell ref="E27:G27"/>
    <mergeCell ref="A28:C28"/>
    <mergeCell ref="E28:G28"/>
    <mergeCell ref="A22:C22"/>
    <mergeCell ref="E22:G22"/>
    <mergeCell ref="A23:C23"/>
    <mergeCell ref="E23:G23"/>
    <mergeCell ref="A24:C24"/>
    <mergeCell ref="E24:G24"/>
    <mergeCell ref="A6:G6"/>
    <mergeCell ref="A8:A10"/>
    <mergeCell ref="B8:C8"/>
    <mergeCell ref="E8:E10"/>
    <mergeCell ref="F8:G8"/>
    <mergeCell ref="B9:B10"/>
    <mergeCell ref="C9:C10"/>
    <mergeCell ref="F9:F10"/>
    <mergeCell ref="G9:G10"/>
    <mergeCell ref="A1:G1"/>
    <mergeCell ref="A2:G2"/>
    <mergeCell ref="A3:G3"/>
    <mergeCell ref="A4:G4"/>
    <mergeCell ref="A5:C5"/>
    <mergeCell ref="E5:G5"/>
  </mergeCells>
  <printOptions horizontalCentered="1"/>
  <pageMargins left="7.874015748031496E-2" right="7.874015748031496E-2" top="0.95" bottom="0.74803149606299213" header="0.31496062992125984" footer="0.31496062992125984"/>
  <pageSetup paperSize="9" scale="87" orientation="landscape" horizont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G53"/>
  <sheetViews>
    <sheetView showGridLines="0" topLeftCell="A28" zoomScale="80" zoomScaleNormal="80" workbookViewId="0">
      <selection activeCell="K42" sqref="K42"/>
    </sheetView>
  </sheetViews>
  <sheetFormatPr defaultColWidth="9.109375" defaultRowHeight="15" x14ac:dyDescent="0.35"/>
  <cols>
    <col min="1" max="1" width="50.6640625" style="127" customWidth="1"/>
    <col min="2" max="3" width="12.6640625" style="127" customWidth="1"/>
    <col min="4" max="4" width="2.6640625" style="26" customWidth="1"/>
    <col min="5" max="5" width="50.6640625" style="127" customWidth="1"/>
    <col min="6" max="7" width="12.6640625" style="127" customWidth="1"/>
    <col min="8" max="16384" width="9.109375" style="26"/>
  </cols>
  <sheetData>
    <row r="1" spans="1:7" x14ac:dyDescent="0.35">
      <c r="A1" s="402"/>
      <c r="B1" s="402"/>
      <c r="C1" s="402"/>
      <c r="D1" s="402"/>
      <c r="E1" s="402"/>
      <c r="F1" s="402"/>
      <c r="G1" s="402"/>
    </row>
    <row r="2" spans="1:7" x14ac:dyDescent="0.35">
      <c r="A2" s="438" t="s">
        <v>265</v>
      </c>
      <c r="B2" s="438"/>
      <c r="C2" s="438"/>
      <c r="D2" s="438"/>
      <c r="E2" s="438"/>
      <c r="F2" s="438"/>
      <c r="G2" s="438"/>
    </row>
    <row r="3" spans="1:7" ht="18.600000000000001" x14ac:dyDescent="0.4">
      <c r="A3" s="403" t="s">
        <v>201</v>
      </c>
      <c r="B3" s="403"/>
      <c r="C3" s="403"/>
      <c r="D3" s="403"/>
      <c r="E3" s="403"/>
      <c r="F3" s="403"/>
      <c r="G3" s="403"/>
    </row>
    <row r="4" spans="1:7" ht="16.2" x14ac:dyDescent="0.35">
      <c r="A4" s="404" t="str">
        <f>+Съдържание!C7</f>
        <v>" КАМИБО " ЕООД</v>
      </c>
      <c r="B4" s="404"/>
      <c r="C4" s="404"/>
      <c r="D4" s="404"/>
      <c r="E4" s="404"/>
      <c r="F4" s="404"/>
      <c r="G4" s="404"/>
    </row>
    <row r="5" spans="1:7" x14ac:dyDescent="0.35">
      <c r="A5" s="415" t="str">
        <f>+Съдържание!C8</f>
        <v>ЕИК/ПИК: 131157890</v>
      </c>
      <c r="B5" s="415"/>
      <c r="C5" s="415"/>
      <c r="D5" s="44"/>
      <c r="E5" s="408" t="str">
        <f>CONCATENATE("към  ",+Съдържание!C9)</f>
        <v>към  гр. София 1220, ж.к. Надежда бл. 155, вх. В, ап. 71</v>
      </c>
      <c r="F5" s="408"/>
      <c r="G5" s="408"/>
    </row>
    <row r="6" spans="1:7" ht="16.2" x14ac:dyDescent="0.35">
      <c r="A6" s="404" t="s">
        <v>371</v>
      </c>
      <c r="B6" s="404"/>
      <c r="C6" s="404"/>
      <c r="D6" s="404"/>
      <c r="E6" s="404"/>
      <c r="F6" s="404"/>
      <c r="G6" s="404"/>
    </row>
    <row r="7" spans="1:7" ht="15.6" thickBot="1" x14ac:dyDescent="0.4">
      <c r="A7" s="26"/>
      <c r="B7" s="26"/>
      <c r="C7" s="26"/>
      <c r="E7" s="26"/>
      <c r="F7" s="26"/>
      <c r="G7" s="244" t="s">
        <v>101</v>
      </c>
    </row>
    <row r="8" spans="1:7" ht="16.2" thickTop="1" thickBot="1" x14ac:dyDescent="0.4">
      <c r="A8" s="398" t="s">
        <v>202</v>
      </c>
      <c r="B8" s="441" t="s">
        <v>203</v>
      </c>
      <c r="C8" s="441"/>
      <c r="E8" s="398" t="s">
        <v>204</v>
      </c>
      <c r="F8" s="439" t="s">
        <v>203</v>
      </c>
      <c r="G8" s="440"/>
    </row>
    <row r="9" spans="1:7" ht="16.2" thickTop="1" thickBot="1" x14ac:dyDescent="0.4">
      <c r="A9" s="398"/>
      <c r="B9" s="401" t="s">
        <v>4</v>
      </c>
      <c r="C9" s="401" t="s">
        <v>5</v>
      </c>
      <c r="E9" s="398"/>
      <c r="F9" s="401" t="s">
        <v>4</v>
      </c>
      <c r="G9" s="401" t="s">
        <v>5</v>
      </c>
    </row>
    <row r="10" spans="1:7" ht="16.2" thickTop="1" thickBot="1" x14ac:dyDescent="0.4">
      <c r="A10" s="398"/>
      <c r="B10" s="401"/>
      <c r="C10" s="401"/>
      <c r="E10" s="398"/>
      <c r="F10" s="401"/>
      <c r="G10" s="401"/>
    </row>
    <row r="11" spans="1:7" ht="16.2" thickTop="1" thickBot="1" x14ac:dyDescent="0.4">
      <c r="A11" s="125">
        <v>1</v>
      </c>
      <c r="B11" s="125">
        <v>2</v>
      </c>
      <c r="C11" s="125">
        <v>3</v>
      </c>
      <c r="E11" s="125">
        <v>1</v>
      </c>
      <c r="F11" s="125">
        <v>2</v>
      </c>
      <c r="G11" s="125">
        <v>3</v>
      </c>
    </row>
    <row r="12" spans="1:7" ht="16.2" thickTop="1" thickBot="1" x14ac:dyDescent="0.4">
      <c r="A12" s="363" t="s">
        <v>205</v>
      </c>
      <c r="B12" s="362"/>
      <c r="C12" s="364"/>
      <c r="D12" s="133"/>
      <c r="E12" s="363" t="s">
        <v>206</v>
      </c>
      <c r="F12" s="362"/>
      <c r="G12" s="364"/>
    </row>
    <row r="13" spans="1:7" ht="31.2" thickTop="1" thickBot="1" x14ac:dyDescent="0.4">
      <c r="A13" s="356" t="s">
        <v>207</v>
      </c>
      <c r="B13" s="355"/>
      <c r="C13" s="355"/>
      <c r="D13" s="133"/>
      <c r="E13" s="185" t="s">
        <v>209</v>
      </c>
      <c r="F13" s="191"/>
      <c r="G13" s="191"/>
    </row>
    <row r="14" spans="1:7" ht="31.2" thickTop="1" thickBot="1" x14ac:dyDescent="0.4">
      <c r="A14" s="185" t="s">
        <v>208</v>
      </c>
      <c r="B14" s="191">
        <v>211</v>
      </c>
      <c r="C14" s="191">
        <v>274</v>
      </c>
      <c r="D14" s="133"/>
      <c r="E14" s="343" t="s">
        <v>211</v>
      </c>
      <c r="F14" s="350"/>
      <c r="G14" s="350"/>
    </row>
    <row r="15" spans="1:7" ht="16.2" thickTop="1" thickBot="1" x14ac:dyDescent="0.4">
      <c r="A15" s="357" t="s">
        <v>210</v>
      </c>
      <c r="B15" s="355"/>
      <c r="C15" s="355"/>
      <c r="D15" s="133"/>
      <c r="E15" s="344" t="s">
        <v>213</v>
      </c>
      <c r="F15" s="352"/>
      <c r="G15" s="352"/>
    </row>
    <row r="16" spans="1:7" ht="16.2" thickTop="1" thickBot="1" x14ac:dyDescent="0.4">
      <c r="A16" s="357" t="s">
        <v>212</v>
      </c>
      <c r="B16" s="355">
        <v>211</v>
      </c>
      <c r="C16" s="355">
        <v>274</v>
      </c>
      <c r="D16" s="133"/>
      <c r="E16" s="344" t="s">
        <v>214</v>
      </c>
      <c r="F16" s="352"/>
      <c r="G16" s="352"/>
    </row>
    <row r="17" spans="1:7" ht="16.2" thickTop="1" thickBot="1" x14ac:dyDescent="0.4">
      <c r="A17" s="357"/>
      <c r="B17" s="355"/>
      <c r="C17" s="355"/>
      <c r="D17" s="133"/>
      <c r="E17" s="344" t="s">
        <v>370</v>
      </c>
      <c r="F17" s="352"/>
      <c r="G17" s="352">
        <v>188</v>
      </c>
    </row>
    <row r="18" spans="1:7" ht="31.2" thickTop="1" thickBot="1" x14ac:dyDescent="0.4">
      <c r="A18" s="185" t="s">
        <v>215</v>
      </c>
      <c r="B18" s="191">
        <v>107</v>
      </c>
      <c r="C18" s="191">
        <v>124</v>
      </c>
      <c r="D18" s="133"/>
      <c r="E18" s="344" t="s">
        <v>216</v>
      </c>
      <c r="F18" s="352"/>
      <c r="G18" s="352"/>
    </row>
    <row r="19" spans="1:7" ht="31.2" thickTop="1" thickBot="1" x14ac:dyDescent="0.4">
      <c r="A19" s="358" t="s">
        <v>217</v>
      </c>
      <c r="B19" s="355">
        <v>91</v>
      </c>
      <c r="C19" s="355">
        <v>104</v>
      </c>
      <c r="D19" s="133"/>
      <c r="E19" s="341" t="s">
        <v>221</v>
      </c>
      <c r="F19" s="352"/>
      <c r="G19" s="352"/>
    </row>
    <row r="20" spans="1:7" ht="16.2" thickTop="1" thickBot="1" x14ac:dyDescent="0.4">
      <c r="A20" s="357" t="s">
        <v>218</v>
      </c>
      <c r="B20" s="355">
        <v>16</v>
      </c>
      <c r="C20" s="355">
        <v>20</v>
      </c>
      <c r="D20" s="133"/>
      <c r="E20" s="342" t="s">
        <v>227</v>
      </c>
      <c r="F20" s="191"/>
      <c r="G20" s="191"/>
    </row>
    <row r="21" spans="1:7" ht="16.2" thickTop="1" thickBot="1" x14ac:dyDescent="0.4">
      <c r="A21" s="357" t="s">
        <v>219</v>
      </c>
      <c r="B21" s="355"/>
      <c r="C21" s="355"/>
      <c r="D21" s="133"/>
      <c r="E21" s="361" t="s">
        <v>229</v>
      </c>
      <c r="F21" s="365"/>
      <c r="G21" s="365"/>
    </row>
    <row r="22" spans="1:7" ht="31.2" thickTop="1" thickBot="1" x14ac:dyDescent="0.4">
      <c r="A22" s="185" t="s">
        <v>220</v>
      </c>
      <c r="B22" s="191"/>
      <c r="C22" s="191">
        <v>26</v>
      </c>
      <c r="D22" s="133"/>
      <c r="E22" s="346" t="s">
        <v>232</v>
      </c>
      <c r="F22" s="191"/>
      <c r="G22" s="191">
        <v>188</v>
      </c>
    </row>
    <row r="23" spans="1:7" ht="46.2" thickTop="1" thickBot="1" x14ac:dyDescent="0.4">
      <c r="A23" s="358" t="s">
        <v>222</v>
      </c>
      <c r="B23" s="355"/>
      <c r="C23" s="355"/>
      <c r="D23" s="133"/>
      <c r="E23" s="343" t="s">
        <v>234</v>
      </c>
      <c r="F23" s="366"/>
      <c r="G23" s="366"/>
    </row>
    <row r="24" spans="1:7" ht="16.2" thickTop="1" thickBot="1" x14ac:dyDescent="0.4">
      <c r="A24" s="356" t="s">
        <v>223</v>
      </c>
      <c r="B24" s="355"/>
      <c r="C24" s="355">
        <v>26</v>
      </c>
      <c r="D24" s="133"/>
      <c r="E24" s="347" t="s">
        <v>236</v>
      </c>
      <c r="F24" s="366"/>
      <c r="G24" s="366"/>
    </row>
    <row r="25" spans="1:7" ht="31.2" thickTop="1" thickBot="1" x14ac:dyDescent="0.4">
      <c r="A25" s="357" t="s">
        <v>224</v>
      </c>
      <c r="B25" s="355"/>
      <c r="C25" s="355"/>
      <c r="D25" s="133"/>
      <c r="E25" s="347" t="s">
        <v>238</v>
      </c>
      <c r="F25" s="366"/>
      <c r="G25" s="366"/>
    </row>
    <row r="26" spans="1:7" ht="31.2" thickTop="1" thickBot="1" x14ac:dyDescent="0.4">
      <c r="A26" s="357" t="s">
        <v>225</v>
      </c>
      <c r="B26" s="355"/>
      <c r="C26" s="355"/>
      <c r="D26" s="133"/>
      <c r="E26" s="345" t="s">
        <v>236</v>
      </c>
      <c r="F26" s="366"/>
      <c r="G26" s="366"/>
    </row>
    <row r="27" spans="1:7" ht="16.2" thickTop="1" thickBot="1" x14ac:dyDescent="0.4">
      <c r="A27" s="186" t="s">
        <v>226</v>
      </c>
      <c r="B27" s="191">
        <v>745</v>
      </c>
      <c r="C27" s="191">
        <v>529</v>
      </c>
      <c r="D27" s="133"/>
      <c r="E27" s="342" t="s">
        <v>241</v>
      </c>
      <c r="F27" s="191">
        <v>82</v>
      </c>
      <c r="G27" s="191">
        <v>79</v>
      </c>
    </row>
    <row r="28" spans="1:7" ht="16.2" thickTop="1" thickBot="1" x14ac:dyDescent="0.4">
      <c r="A28" s="358" t="s">
        <v>228</v>
      </c>
      <c r="B28" s="355"/>
      <c r="C28" s="355"/>
      <c r="D28" s="133"/>
      <c r="E28" s="343" t="s">
        <v>242</v>
      </c>
      <c r="F28" s="352"/>
      <c r="G28" s="352"/>
    </row>
    <row r="29" spans="1:7" ht="31.2" thickTop="1" thickBot="1" x14ac:dyDescent="0.4">
      <c r="A29" s="358" t="s">
        <v>230</v>
      </c>
      <c r="B29" s="355"/>
      <c r="C29" s="355"/>
      <c r="D29" s="133"/>
      <c r="E29" s="347" t="s">
        <v>243</v>
      </c>
      <c r="F29" s="352"/>
      <c r="G29" s="352"/>
    </row>
    <row r="30" spans="1:7" ht="31.2" thickTop="1" thickBot="1" x14ac:dyDescent="0.4">
      <c r="A30" s="358"/>
      <c r="B30" s="355"/>
      <c r="C30" s="355"/>
      <c r="D30" s="133"/>
      <c r="E30" s="345" t="s">
        <v>244</v>
      </c>
      <c r="F30" s="352"/>
      <c r="G30" s="352"/>
    </row>
    <row r="31" spans="1:7" ht="31.2" thickTop="1" thickBot="1" x14ac:dyDescent="0.4">
      <c r="A31" s="131" t="s">
        <v>231</v>
      </c>
      <c r="B31" s="191">
        <v>1063</v>
      </c>
      <c r="C31" s="191">
        <v>953</v>
      </c>
      <c r="D31" s="133"/>
      <c r="E31" s="345" t="s">
        <v>363</v>
      </c>
      <c r="F31" s="352"/>
      <c r="G31" s="352"/>
    </row>
    <row r="32" spans="1:7" ht="36" customHeight="1" thickTop="1" thickBot="1" x14ac:dyDescent="0.4">
      <c r="A32" s="358" t="s">
        <v>233</v>
      </c>
      <c r="B32" s="355"/>
      <c r="C32" s="355"/>
      <c r="D32" s="133"/>
      <c r="E32" s="346" t="s">
        <v>246</v>
      </c>
      <c r="F32" s="191">
        <v>82</v>
      </c>
      <c r="G32" s="191">
        <v>79</v>
      </c>
    </row>
    <row r="33" spans="1:7" ht="31.2" thickTop="1" thickBot="1" x14ac:dyDescent="0.4">
      <c r="A33" s="358" t="s">
        <v>235</v>
      </c>
      <c r="B33" s="355"/>
      <c r="C33" s="359"/>
      <c r="D33" s="133"/>
      <c r="E33" s="343"/>
      <c r="F33" s="367"/>
      <c r="G33" s="367"/>
    </row>
    <row r="34" spans="1:7" ht="31.2" thickTop="1" thickBot="1" x14ac:dyDescent="0.4">
      <c r="A34" s="186" t="s">
        <v>237</v>
      </c>
      <c r="B34" s="191">
        <v>58</v>
      </c>
      <c r="C34" s="191">
        <v>31</v>
      </c>
      <c r="D34" s="133"/>
      <c r="E34" s="347"/>
      <c r="F34" s="353"/>
      <c r="G34" s="353"/>
    </row>
    <row r="35" spans="1:7" ht="16.2" thickTop="1" thickBot="1" x14ac:dyDescent="0.4">
      <c r="A35" s="358" t="s">
        <v>239</v>
      </c>
      <c r="B35" s="355"/>
      <c r="C35" s="355"/>
      <c r="D35" s="133"/>
      <c r="E35" s="347"/>
      <c r="F35" s="353"/>
      <c r="G35" s="353"/>
    </row>
    <row r="36" spans="1:7" ht="31.2" thickTop="1" thickBot="1" x14ac:dyDescent="0.4">
      <c r="A36" s="358" t="s">
        <v>240</v>
      </c>
      <c r="B36" s="355"/>
      <c r="C36" s="355"/>
      <c r="D36" s="133"/>
      <c r="E36" s="347"/>
      <c r="F36" s="353"/>
      <c r="G36" s="353"/>
    </row>
    <row r="37" spans="1:7" ht="16.2" thickTop="1" thickBot="1" x14ac:dyDescent="0.4">
      <c r="A37" s="358" t="s">
        <v>369</v>
      </c>
      <c r="B37" s="355">
        <v>14</v>
      </c>
      <c r="C37" s="355">
        <v>4</v>
      </c>
      <c r="D37" s="133"/>
      <c r="E37" s="345"/>
      <c r="F37" s="351"/>
      <c r="G37" s="351"/>
    </row>
    <row r="38" spans="1:7" ht="16.2" thickTop="1" thickBot="1" x14ac:dyDescent="0.4">
      <c r="A38" s="358"/>
      <c r="B38" s="355"/>
      <c r="C38" s="355"/>
      <c r="D38" s="133"/>
      <c r="E38" s="345"/>
      <c r="F38" s="351"/>
      <c r="G38" s="351"/>
    </row>
    <row r="39" spans="1:7" ht="16.2" thickTop="1" thickBot="1" x14ac:dyDescent="0.4">
      <c r="A39" s="131" t="s">
        <v>245</v>
      </c>
      <c r="B39" s="191">
        <v>72</v>
      </c>
      <c r="C39" s="191">
        <v>35</v>
      </c>
      <c r="D39" s="133"/>
      <c r="E39" s="345"/>
      <c r="F39" s="351"/>
      <c r="G39" s="351"/>
    </row>
    <row r="40" spans="1:7" ht="16.2" thickTop="1" thickBot="1" x14ac:dyDescent="0.4">
      <c r="A40" s="354" t="s">
        <v>247</v>
      </c>
      <c r="B40" s="360"/>
      <c r="C40" s="360"/>
      <c r="D40" s="133"/>
      <c r="E40" s="346" t="s">
        <v>248</v>
      </c>
      <c r="F40" s="191">
        <v>1053</v>
      </c>
      <c r="G40" s="191">
        <v>721</v>
      </c>
    </row>
    <row r="41" spans="1:7" ht="16.2" thickTop="1" thickBot="1" x14ac:dyDescent="0.4">
      <c r="A41" s="131" t="s">
        <v>249</v>
      </c>
      <c r="B41" s="191">
        <v>1135</v>
      </c>
      <c r="C41" s="191">
        <v>988</v>
      </c>
      <c r="D41" s="133"/>
      <c r="E41" s="348" t="s">
        <v>250</v>
      </c>
      <c r="F41" s="192">
        <v>82</v>
      </c>
      <c r="G41" s="192">
        <v>267</v>
      </c>
    </row>
    <row r="42" spans="1:7" ht="31.2" thickTop="1" thickBot="1" x14ac:dyDescent="0.4">
      <c r="A42" s="185" t="s">
        <v>251</v>
      </c>
      <c r="B42" s="191"/>
      <c r="C42" s="191"/>
      <c r="D42" s="133"/>
      <c r="E42" s="342" t="s">
        <v>252</v>
      </c>
      <c r="F42" s="191">
        <v>1053</v>
      </c>
      <c r="G42" s="191">
        <v>721</v>
      </c>
    </row>
    <row r="43" spans="1:7" ht="16.2" thickTop="1" thickBot="1" x14ac:dyDescent="0.4">
      <c r="A43" s="358" t="s">
        <v>253</v>
      </c>
      <c r="B43" s="355"/>
      <c r="C43" s="355"/>
      <c r="D43" s="133"/>
      <c r="E43" s="343"/>
      <c r="F43" s="352"/>
      <c r="G43" s="352"/>
    </row>
    <row r="44" spans="1:7" ht="31.2" thickTop="1" thickBot="1" x14ac:dyDescent="0.4">
      <c r="A44" s="358" t="s">
        <v>254</v>
      </c>
      <c r="B44" s="355"/>
      <c r="C44" s="355"/>
      <c r="D44" s="133"/>
      <c r="E44" s="345"/>
      <c r="F44" s="368"/>
      <c r="G44" s="368"/>
    </row>
    <row r="45" spans="1:7" ht="16.2" thickTop="1" thickBot="1" x14ac:dyDescent="0.4">
      <c r="A45" s="131" t="s">
        <v>255</v>
      </c>
      <c r="B45" s="287"/>
      <c r="C45" s="191"/>
      <c r="D45" s="133"/>
      <c r="E45" s="346" t="s">
        <v>256</v>
      </c>
      <c r="F45" s="191">
        <v>1053</v>
      </c>
      <c r="G45" s="191">
        <v>721</v>
      </c>
    </row>
    <row r="46" spans="1:7" ht="16.2" thickTop="1" thickBot="1" x14ac:dyDescent="0.4">
      <c r="A46" s="138" t="s">
        <v>257</v>
      </c>
      <c r="B46" s="193">
        <v>1135</v>
      </c>
      <c r="C46" s="193">
        <f>SUM(C41,C43,C44,C45)</f>
        <v>988</v>
      </c>
      <c r="D46" s="133"/>
      <c r="E46" s="349" t="s">
        <v>258</v>
      </c>
      <c r="F46" s="193">
        <v>1135</v>
      </c>
      <c r="G46" s="193">
        <v>988</v>
      </c>
    </row>
    <row r="47" spans="1:7" ht="15.6" thickTop="1" x14ac:dyDescent="0.35">
      <c r="A47" s="409"/>
      <c r="B47" s="409"/>
      <c r="C47" s="409"/>
      <c r="E47" s="437"/>
      <c r="F47" s="437"/>
      <c r="G47" s="437"/>
    </row>
    <row r="48" spans="1:7" x14ac:dyDescent="0.35">
      <c r="A48" s="414"/>
      <c r="B48" s="414"/>
      <c r="C48" s="414"/>
      <c r="E48" s="414"/>
      <c r="F48" s="414"/>
      <c r="G48" s="414"/>
    </row>
    <row r="49" spans="1:7" x14ac:dyDescent="0.35">
      <c r="A49" s="412" t="str">
        <f>+СБ!A79</f>
        <v>Дата на съставяне:</v>
      </c>
      <c r="B49" s="412"/>
      <c r="C49" s="412"/>
      <c r="E49" s="414"/>
      <c r="F49" s="414"/>
      <c r="G49" s="414"/>
    </row>
    <row r="50" spans="1:7" x14ac:dyDescent="0.35">
      <c r="A50" s="418">
        <f>+Съдържание!C6</f>
        <v>44312</v>
      </c>
      <c r="B50" s="418"/>
      <c r="C50" s="418"/>
      <c r="E50" s="414"/>
      <c r="F50" s="414"/>
      <c r="G50" s="414"/>
    </row>
    <row r="51" spans="1:7" x14ac:dyDescent="0.35">
      <c r="A51" s="126"/>
      <c r="B51" s="126"/>
      <c r="C51" s="126"/>
      <c r="E51" s="128"/>
      <c r="F51" s="128"/>
      <c r="G51" s="128"/>
    </row>
    <row r="52" spans="1:7" x14ac:dyDescent="0.35">
      <c r="A52" s="412" t="s">
        <v>259</v>
      </c>
      <c r="B52" s="412"/>
      <c r="C52" s="412"/>
      <c r="E52" s="412" t="s">
        <v>260</v>
      </c>
      <c r="F52" s="412"/>
      <c r="G52" s="412"/>
    </row>
    <row r="53" spans="1:7" x14ac:dyDescent="0.35">
      <c r="A53" s="412" t="str">
        <f>+Съдържание!C11</f>
        <v>ЖАНА МИЛЧОВА ГЪЛЪБОВА</v>
      </c>
      <c r="B53" s="412"/>
      <c r="C53" s="412"/>
      <c r="E53" s="412" t="str">
        <f>+Съдържание!C10</f>
        <v>ДИМИТЪР ЙОРДАНОВ ИВАНОВ</v>
      </c>
      <c r="F53" s="412"/>
      <c r="G53" s="412"/>
    </row>
  </sheetData>
  <mergeCells count="27">
    <mergeCell ref="A53:C53"/>
    <mergeCell ref="E53:G53"/>
    <mergeCell ref="E48:G48"/>
    <mergeCell ref="F8:G8"/>
    <mergeCell ref="A50:C50"/>
    <mergeCell ref="E50:G50"/>
    <mergeCell ref="A52:C52"/>
    <mergeCell ref="E52:G52"/>
    <mergeCell ref="A49:C49"/>
    <mergeCell ref="E49:G49"/>
    <mergeCell ref="A8:A10"/>
    <mergeCell ref="B8:C8"/>
    <mergeCell ref="E8:E10"/>
    <mergeCell ref="B9:B10"/>
    <mergeCell ref="C9:C10"/>
    <mergeCell ref="F9:F10"/>
    <mergeCell ref="G9:G10"/>
    <mergeCell ref="A47:C47"/>
    <mergeCell ref="E47:G47"/>
    <mergeCell ref="A48:C48"/>
    <mergeCell ref="A6:G6"/>
    <mergeCell ref="A5:C5"/>
    <mergeCell ref="E5:G5"/>
    <mergeCell ref="A1:G1"/>
    <mergeCell ref="A2:G2"/>
    <mergeCell ref="A3:G3"/>
    <mergeCell ref="A4:G4"/>
  </mergeCells>
  <pageMargins left="0.25" right="0.25" top="0.75" bottom="0.75" header="0.3" footer="0.3"/>
  <pageSetup scale="61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I33"/>
  <sheetViews>
    <sheetView showGridLines="0" zoomScale="80" zoomScaleNormal="80" workbookViewId="0">
      <selection activeCell="L11" sqref="L11"/>
    </sheetView>
  </sheetViews>
  <sheetFormatPr defaultColWidth="9.109375" defaultRowHeight="15" x14ac:dyDescent="0.35"/>
  <cols>
    <col min="1" max="1" width="54" style="26" customWidth="1"/>
    <col min="2" max="2" width="15.109375" style="26" bestFit="1" customWidth="1"/>
    <col min="3" max="3" width="16.5546875" style="26" customWidth="1"/>
    <col min="4" max="4" width="2.6640625" style="26" customWidth="1"/>
    <col min="5" max="5" width="44.88671875" style="26" customWidth="1"/>
    <col min="6" max="6" width="15.109375" style="26" bestFit="1" customWidth="1"/>
    <col min="7" max="7" width="17.33203125" style="26" customWidth="1"/>
    <col min="8" max="8" width="9.109375" style="26"/>
    <col min="9" max="9" width="9.109375" style="26" hidden="1" customWidth="1"/>
    <col min="10" max="16384" width="9.109375" style="26"/>
  </cols>
  <sheetData>
    <row r="1" spans="1:9" x14ac:dyDescent="0.35">
      <c r="A1" s="402"/>
      <c r="B1" s="402"/>
      <c r="C1" s="402"/>
      <c r="D1" s="402"/>
      <c r="E1" s="402"/>
      <c r="F1" s="402"/>
      <c r="G1" s="402"/>
      <c r="I1" s="26">
        <v>1</v>
      </c>
    </row>
    <row r="2" spans="1:9" x14ac:dyDescent="0.35">
      <c r="A2" s="402" t="s">
        <v>288</v>
      </c>
      <c r="B2" s="402"/>
      <c r="C2" s="402"/>
      <c r="D2" s="402"/>
      <c r="E2" s="402"/>
      <c r="F2" s="402"/>
      <c r="G2" s="402"/>
      <c r="I2" s="26">
        <v>1</v>
      </c>
    </row>
    <row r="3" spans="1:9" ht="18.600000000000001" x14ac:dyDescent="0.4">
      <c r="A3" s="403" t="s">
        <v>201</v>
      </c>
      <c r="B3" s="403"/>
      <c r="C3" s="403"/>
      <c r="D3" s="403"/>
      <c r="E3" s="403"/>
      <c r="F3" s="403"/>
      <c r="G3" s="403"/>
      <c r="I3" s="26">
        <v>1</v>
      </c>
    </row>
    <row r="4" spans="1:9" ht="16.2" x14ac:dyDescent="0.35">
      <c r="A4" s="404" t="str">
        <f>+Съдържание!C7</f>
        <v>" КАМИБО " ЕООД</v>
      </c>
      <c r="B4" s="404"/>
      <c r="C4" s="404"/>
      <c r="D4" s="404"/>
      <c r="E4" s="404"/>
      <c r="F4" s="404"/>
      <c r="G4" s="404"/>
      <c r="I4" s="26">
        <v>1</v>
      </c>
    </row>
    <row r="5" spans="1:9" x14ac:dyDescent="0.35">
      <c r="A5" s="415" t="str">
        <f>+Съдържание!C8</f>
        <v>ЕИК/ПИК: 131157890</v>
      </c>
      <c r="B5" s="415"/>
      <c r="C5" s="415"/>
      <c r="D5" s="44"/>
      <c r="E5" s="408" t="str">
        <f>+Съдържание!C9</f>
        <v>гр. София 1220, ж.к. Надежда бл. 155, вх. В, ап. 71</v>
      </c>
      <c r="F5" s="408"/>
      <c r="G5" s="408"/>
      <c r="I5" s="26">
        <v>1</v>
      </c>
    </row>
    <row r="6" spans="1:9" ht="16.2" x14ac:dyDescent="0.35">
      <c r="A6" s="404" t="s">
        <v>371</v>
      </c>
      <c r="B6" s="404"/>
      <c r="C6" s="404"/>
      <c r="D6" s="404"/>
      <c r="E6" s="404"/>
      <c r="F6" s="404"/>
      <c r="G6" s="404"/>
      <c r="I6" s="26">
        <v>1</v>
      </c>
    </row>
    <row r="7" spans="1:9" ht="15.6" thickBot="1" x14ac:dyDescent="0.4">
      <c r="G7" s="244" t="s">
        <v>101</v>
      </c>
      <c r="I7" s="26">
        <v>1</v>
      </c>
    </row>
    <row r="8" spans="1:9" ht="16.2" thickTop="1" thickBot="1" x14ac:dyDescent="0.4">
      <c r="A8" s="398" t="s">
        <v>202</v>
      </c>
      <c r="B8" s="441" t="s">
        <v>203</v>
      </c>
      <c r="C8" s="441"/>
      <c r="E8" s="400" t="s">
        <v>204</v>
      </c>
      <c r="F8" s="439" t="s">
        <v>203</v>
      </c>
      <c r="G8" s="440"/>
      <c r="I8" s="26">
        <v>1</v>
      </c>
    </row>
    <row r="9" spans="1:9" ht="16.2" thickTop="1" thickBot="1" x14ac:dyDescent="0.4">
      <c r="A9" s="398"/>
      <c r="B9" s="401" t="s">
        <v>4</v>
      </c>
      <c r="C9" s="401" t="s">
        <v>5</v>
      </c>
      <c r="E9" s="400"/>
      <c r="F9" s="401" t="s">
        <v>4</v>
      </c>
      <c r="G9" s="401" t="s">
        <v>5</v>
      </c>
      <c r="I9" s="26">
        <v>1</v>
      </c>
    </row>
    <row r="10" spans="1:9" ht="16.2" thickTop="1" thickBot="1" x14ac:dyDescent="0.4">
      <c r="A10" s="398"/>
      <c r="B10" s="401"/>
      <c r="C10" s="401"/>
      <c r="E10" s="400"/>
      <c r="F10" s="401"/>
      <c r="G10" s="401"/>
      <c r="I10" s="26">
        <v>1</v>
      </c>
    </row>
    <row r="11" spans="1:9" ht="16.2" thickTop="1" thickBot="1" x14ac:dyDescent="0.4">
      <c r="A11" s="43">
        <v>1</v>
      </c>
      <c r="B11" s="43">
        <v>2</v>
      </c>
      <c r="C11" s="43">
        <v>3</v>
      </c>
      <c r="E11" s="43">
        <v>1</v>
      </c>
      <c r="F11" s="43">
        <v>2</v>
      </c>
      <c r="G11" s="43">
        <v>3</v>
      </c>
      <c r="I11" s="26">
        <v>1</v>
      </c>
    </row>
    <row r="12" spans="1:9" ht="15.6" thickTop="1" x14ac:dyDescent="0.35">
      <c r="A12" s="30" t="s">
        <v>205</v>
      </c>
      <c r="B12" s="194"/>
      <c r="C12" s="195"/>
      <c r="E12" s="30" t="s">
        <v>206</v>
      </c>
      <c r="F12" s="194"/>
      <c r="G12" s="195"/>
      <c r="I12" s="26">
        <v>1</v>
      </c>
    </row>
    <row r="13" spans="1:9" x14ac:dyDescent="0.35">
      <c r="A13" s="139" t="s">
        <v>313</v>
      </c>
      <c r="B13" s="196">
        <f>+ОПР!B14</f>
        <v>211</v>
      </c>
      <c r="C13" s="197">
        <f>+ОПР!C14</f>
        <v>274</v>
      </c>
      <c r="E13" s="204" t="s">
        <v>261</v>
      </c>
      <c r="F13" s="196">
        <f>+ОПР!F13</f>
        <v>0</v>
      </c>
      <c r="G13" s="197">
        <f>+ОПР!G13</f>
        <v>0</v>
      </c>
    </row>
    <row r="14" spans="1:9" ht="15.6" thickBot="1" x14ac:dyDescent="0.4">
      <c r="A14" s="36" t="s">
        <v>314</v>
      </c>
      <c r="B14" s="196">
        <f>+ОПР!B18</f>
        <v>107</v>
      </c>
      <c r="C14" s="197">
        <f>+ОПР!C18</f>
        <v>124</v>
      </c>
      <c r="E14" s="32" t="s">
        <v>319</v>
      </c>
      <c r="F14" s="196">
        <f>+ОПР!F20+ОПР!F18+ОПР!F19</f>
        <v>0</v>
      </c>
      <c r="G14" s="197">
        <f>+ОПР!G20+ОПР!G18+ОПР!G19</f>
        <v>0</v>
      </c>
    </row>
    <row r="15" spans="1:9" ht="30.6" thickBot="1" x14ac:dyDescent="0.4">
      <c r="A15" s="204" t="s">
        <v>315</v>
      </c>
      <c r="B15" s="196">
        <f>+ОПР!B22</f>
        <v>0</v>
      </c>
      <c r="C15" s="197">
        <f>+ОПР!C22</f>
        <v>26</v>
      </c>
      <c r="E15" s="36" t="s">
        <v>321</v>
      </c>
      <c r="F15" s="196">
        <f>+ОПР!F23</f>
        <v>0</v>
      </c>
      <c r="G15" s="197">
        <f>+ОПР!G23</f>
        <v>0</v>
      </c>
    </row>
    <row r="16" spans="1:9" ht="45.6" thickBot="1" x14ac:dyDescent="0.4">
      <c r="A16" s="205" t="s">
        <v>316</v>
      </c>
      <c r="B16" s="196">
        <f>+ОПР!B27+ОПР!B13</f>
        <v>745</v>
      </c>
      <c r="C16" s="197">
        <f>+ОПР!C27+ОПР!C13</f>
        <v>529</v>
      </c>
      <c r="E16" s="36" t="s">
        <v>322</v>
      </c>
      <c r="F16" s="196">
        <f>+ОПР!F25</f>
        <v>0</v>
      </c>
      <c r="G16" s="197">
        <f>+ОПР!G25</f>
        <v>0</v>
      </c>
    </row>
    <row r="17" spans="1:9" ht="45.6" thickBot="1" x14ac:dyDescent="0.4">
      <c r="A17" s="202" t="s">
        <v>324</v>
      </c>
      <c r="B17" s="196">
        <f>+ОПР!B32</f>
        <v>0</v>
      </c>
      <c r="C17" s="197">
        <f>+ОПР!C32</f>
        <v>0</v>
      </c>
      <c r="E17" s="204" t="s">
        <v>323</v>
      </c>
      <c r="F17" s="196">
        <f>+ОПР!F27</f>
        <v>82</v>
      </c>
      <c r="G17" s="197">
        <f>+ОПР!G27</f>
        <v>79</v>
      </c>
    </row>
    <row r="18" spans="1:9" ht="15.6" thickBot="1" x14ac:dyDescent="0.4">
      <c r="A18" s="203" t="s">
        <v>320</v>
      </c>
      <c r="B18" s="196">
        <v>72</v>
      </c>
      <c r="C18" s="197">
        <f>+ОПР!C34</f>
        <v>31</v>
      </c>
      <c r="E18" s="215" t="s">
        <v>200</v>
      </c>
      <c r="F18" s="216">
        <v>0</v>
      </c>
      <c r="G18" s="217">
        <v>0</v>
      </c>
    </row>
    <row r="19" spans="1:9" ht="15.6" thickBot="1" x14ac:dyDescent="0.4">
      <c r="A19" s="32" t="s">
        <v>297</v>
      </c>
      <c r="B19" s="196">
        <f>+ОПР!B41</f>
        <v>1135</v>
      </c>
      <c r="C19" s="197">
        <f>+ОПР!C41</f>
        <v>988</v>
      </c>
      <c r="E19" s="208" t="s">
        <v>298</v>
      </c>
      <c r="F19" s="206">
        <f>+ОПР!F41</f>
        <v>82</v>
      </c>
      <c r="G19" s="207">
        <f>+ОПР!G41</f>
        <v>267</v>
      </c>
    </row>
    <row r="20" spans="1:9" ht="15.6" thickBot="1" x14ac:dyDescent="0.4">
      <c r="A20" s="32" t="s">
        <v>317</v>
      </c>
      <c r="B20" s="196">
        <f>+ОПР!B43</f>
        <v>0</v>
      </c>
      <c r="C20" s="197">
        <f>+ОПР!C43</f>
        <v>0</v>
      </c>
      <c r="E20" s="209" t="s">
        <v>200</v>
      </c>
      <c r="F20" s="210">
        <v>0</v>
      </c>
      <c r="G20" s="211">
        <v>0</v>
      </c>
    </row>
    <row r="21" spans="1:9" ht="30.6" thickBot="1" x14ac:dyDescent="0.4">
      <c r="A21" s="139" t="s">
        <v>318</v>
      </c>
      <c r="B21" s="196">
        <f>+ОПР!B44</f>
        <v>0</v>
      </c>
      <c r="C21" s="197">
        <f>+ОПР!C44</f>
        <v>0</v>
      </c>
      <c r="E21" s="212" t="s">
        <v>200</v>
      </c>
      <c r="F21" s="213"/>
      <c r="G21" s="214"/>
    </row>
    <row r="22" spans="1:9" ht="15.6" thickBot="1" x14ac:dyDescent="0.4">
      <c r="A22" s="140" t="s">
        <v>325</v>
      </c>
      <c r="B22" s="200">
        <f>+ОПР!B45</f>
        <v>0</v>
      </c>
      <c r="C22" s="201">
        <f>+ОПР!C45</f>
        <v>0</v>
      </c>
      <c r="E22" s="141" t="s">
        <v>326</v>
      </c>
      <c r="F22" s="200">
        <v>1053</v>
      </c>
      <c r="G22" s="201">
        <f>+ОПР!G45</f>
        <v>721</v>
      </c>
    </row>
    <row r="23" spans="1:9" ht="16.2" thickTop="1" thickBot="1" x14ac:dyDescent="0.4">
      <c r="A23" s="218" t="s">
        <v>327</v>
      </c>
      <c r="B23" s="219">
        <f>+ОПР!B46</f>
        <v>1135</v>
      </c>
      <c r="C23" s="220">
        <f>+ОПР!C46</f>
        <v>988</v>
      </c>
      <c r="E23" s="221" t="s">
        <v>327</v>
      </c>
      <c r="F23" s="219">
        <f>+ОПР!F46</f>
        <v>1135</v>
      </c>
      <c r="G23" s="220">
        <f>+ОПР!G46</f>
        <v>988</v>
      </c>
      <c r="I23" s="26">
        <v>1</v>
      </c>
    </row>
    <row r="24" spans="1:9" ht="15.6" thickTop="1" x14ac:dyDescent="0.35">
      <c r="A24" s="409"/>
      <c r="B24" s="409"/>
      <c r="C24" s="409"/>
      <c r="E24" s="437"/>
      <c r="F24" s="437"/>
      <c r="G24" s="437"/>
      <c r="I24" s="26">
        <v>1</v>
      </c>
    </row>
    <row r="25" spans="1:9" x14ac:dyDescent="0.35">
      <c r="A25" s="414"/>
      <c r="B25" s="414"/>
      <c r="C25" s="414"/>
      <c r="E25" s="414"/>
      <c r="F25" s="414"/>
      <c r="G25" s="414"/>
      <c r="I25" s="26">
        <v>1</v>
      </c>
    </row>
    <row r="26" spans="1:9" x14ac:dyDescent="0.35">
      <c r="A26" s="412" t="str">
        <f>+ОПР!A49</f>
        <v>Дата на съставяне:</v>
      </c>
      <c r="B26" s="412"/>
      <c r="C26" s="412"/>
      <c r="E26" s="414"/>
      <c r="F26" s="414"/>
      <c r="G26" s="414"/>
      <c r="I26" s="26">
        <v>1</v>
      </c>
    </row>
    <row r="27" spans="1:9" x14ac:dyDescent="0.35">
      <c r="A27" s="418">
        <f>+ОПР!A50</f>
        <v>44312</v>
      </c>
      <c r="B27" s="418"/>
      <c r="C27" s="418"/>
      <c r="E27" s="414"/>
      <c r="F27" s="414"/>
      <c r="G27" s="414"/>
      <c r="I27" s="26">
        <v>1</v>
      </c>
    </row>
    <row r="28" spans="1:9" x14ac:dyDescent="0.35">
      <c r="A28" s="91"/>
      <c r="B28" s="91"/>
      <c r="C28" s="91"/>
      <c r="E28" s="29"/>
      <c r="F28" s="29"/>
      <c r="G28" s="29"/>
      <c r="I28" s="26">
        <v>1</v>
      </c>
    </row>
    <row r="29" spans="1:9" x14ac:dyDescent="0.35">
      <c r="A29" s="412" t="s">
        <v>259</v>
      </c>
      <c r="B29" s="412"/>
      <c r="C29" s="412"/>
      <c r="E29" s="412" t="s">
        <v>260</v>
      </c>
      <c r="F29" s="412"/>
      <c r="G29" s="412"/>
      <c r="I29" s="26">
        <v>1</v>
      </c>
    </row>
    <row r="30" spans="1:9" x14ac:dyDescent="0.35">
      <c r="A30" s="412" t="str">
        <f>+ОПР!A53</f>
        <v>ЖАНА МИЛЧОВА ГЪЛЪБОВА</v>
      </c>
      <c r="B30" s="412"/>
      <c r="C30" s="412"/>
      <c r="E30" s="412" t="str">
        <f>+ОПР!E53</f>
        <v>ДИМИТЪР ЙОРДАНОВ ИВАНОВ</v>
      </c>
      <c r="F30" s="412"/>
      <c r="G30" s="412"/>
      <c r="I30" s="26">
        <v>1</v>
      </c>
    </row>
    <row r="31" spans="1:9" x14ac:dyDescent="0.35">
      <c r="I31" s="26">
        <v>1</v>
      </c>
    </row>
    <row r="32" spans="1:9" x14ac:dyDescent="0.35">
      <c r="I32" s="26">
        <v>1</v>
      </c>
    </row>
    <row r="33" spans="9:9" x14ac:dyDescent="0.35">
      <c r="I33" s="26">
        <v>1</v>
      </c>
    </row>
  </sheetData>
  <autoFilter ref="I1:I33" xr:uid="{00000000-0009-0000-0000-000006000000}"/>
  <sortState xmlns:xlrd2="http://schemas.microsoft.com/office/spreadsheetml/2017/richdata2" ref="E12:G45">
    <sortCondition descending="1" sortBy="fontColor" ref="E11:E45" dxfId="2"/>
    <sortCondition descending="1" sortBy="fontColor" ref="F11:F45" dxfId="1"/>
    <sortCondition descending="1" sortBy="fontColor" ref="G11:G45" dxfId="0"/>
  </sortState>
  <mergeCells count="27">
    <mergeCell ref="A27:C27"/>
    <mergeCell ref="E27:G27"/>
    <mergeCell ref="A29:C29"/>
    <mergeCell ref="E29:G29"/>
    <mergeCell ref="E30:G30"/>
    <mergeCell ref="A30:C30"/>
    <mergeCell ref="A26:C26"/>
    <mergeCell ref="E26:G26"/>
    <mergeCell ref="A8:A10"/>
    <mergeCell ref="B8:C8"/>
    <mergeCell ref="E8:E10"/>
    <mergeCell ref="B9:B10"/>
    <mergeCell ref="C9:C10"/>
    <mergeCell ref="F9:F10"/>
    <mergeCell ref="G9:G10"/>
    <mergeCell ref="A24:C24"/>
    <mergeCell ref="E24:G24"/>
    <mergeCell ref="A25:C25"/>
    <mergeCell ref="E25:G25"/>
    <mergeCell ref="F8:G8"/>
    <mergeCell ref="A6:G6"/>
    <mergeCell ref="A5:C5"/>
    <mergeCell ref="E5:G5"/>
    <mergeCell ref="A1:G1"/>
    <mergeCell ref="A2:G2"/>
    <mergeCell ref="A3:G3"/>
    <mergeCell ref="A4:G4"/>
  </mergeCells>
  <pageMargins left="0.59055118110236215" right="0.19685039370078738" top="0.39370078740157477" bottom="0.35433070866141736" header="0.82677165354330706" footer="0.19685039370078738"/>
  <pageSetup scale="5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 filterMode="1">
    <pageSetUpPr fitToPage="1"/>
  </sheetPr>
  <dimension ref="A1:L59"/>
  <sheetViews>
    <sheetView showGridLines="0" topLeftCell="A20" workbookViewId="0">
      <selection activeCell="A6" sqref="A6:H6"/>
    </sheetView>
  </sheetViews>
  <sheetFormatPr defaultColWidth="9.109375" defaultRowHeight="16.2" x14ac:dyDescent="0.35"/>
  <cols>
    <col min="1" max="1" width="6.33203125" style="58" customWidth="1"/>
    <col min="2" max="2" width="64.6640625" style="59" bestFit="1" customWidth="1"/>
    <col min="3" max="3" width="14" style="58" bestFit="1" customWidth="1"/>
    <col min="4" max="4" width="11.44140625" style="58" bestFit="1" customWidth="1"/>
    <col min="5" max="5" width="13.109375" style="58" customWidth="1"/>
    <col min="6" max="6" width="14" style="58" bestFit="1" customWidth="1"/>
    <col min="7" max="7" width="11.44140625" style="58" bestFit="1" customWidth="1"/>
    <col min="8" max="8" width="13.109375" style="58" bestFit="1" customWidth="1"/>
    <col min="9" max="10" width="9.109375" style="58"/>
    <col min="11" max="11" width="9.33203125" style="58" customWidth="1"/>
    <col min="12" max="12" width="9.109375" style="58" hidden="1" customWidth="1"/>
    <col min="13" max="16384" width="9.109375" style="58"/>
  </cols>
  <sheetData>
    <row r="1" spans="1:12" x14ac:dyDescent="0.35">
      <c r="B1" s="449"/>
      <c r="C1" s="449"/>
      <c r="D1" s="449"/>
      <c r="E1" s="449"/>
      <c r="F1" s="449"/>
      <c r="G1" s="449"/>
      <c r="H1" s="449"/>
      <c r="L1" s="58">
        <v>1</v>
      </c>
    </row>
    <row r="2" spans="1:12" x14ac:dyDescent="0.35">
      <c r="A2" s="449" t="s">
        <v>287</v>
      </c>
      <c r="B2" s="449"/>
      <c r="C2" s="449"/>
      <c r="D2" s="449"/>
      <c r="E2" s="449"/>
      <c r="F2" s="449"/>
      <c r="G2" s="449"/>
      <c r="H2" s="449"/>
      <c r="L2" s="58">
        <v>1</v>
      </c>
    </row>
    <row r="3" spans="1:12" ht="18.600000000000001" x14ac:dyDescent="0.4">
      <c r="A3" s="403" t="s">
        <v>100</v>
      </c>
      <c r="B3" s="403"/>
      <c r="C3" s="403"/>
      <c r="D3" s="403"/>
      <c r="E3" s="403"/>
      <c r="F3" s="403"/>
      <c r="G3" s="403"/>
      <c r="H3" s="403"/>
      <c r="L3" s="58">
        <v>1</v>
      </c>
    </row>
    <row r="4" spans="1:12" ht="18.600000000000001" x14ac:dyDescent="0.4">
      <c r="A4" s="450" t="str">
        <f>+Съдържание!C7</f>
        <v>" КАМИБО " ЕООД</v>
      </c>
      <c r="B4" s="450"/>
      <c r="C4" s="450"/>
      <c r="D4" s="450"/>
      <c r="E4" s="450"/>
      <c r="F4" s="450"/>
      <c r="G4" s="450"/>
      <c r="H4" s="450"/>
      <c r="L4" s="58">
        <v>1</v>
      </c>
    </row>
    <row r="5" spans="1:12" x14ac:dyDescent="0.35">
      <c r="A5" s="415" t="str">
        <f>+Съдържание!C8</f>
        <v>ЕИК/ПИК: 131157890</v>
      </c>
      <c r="B5" s="415"/>
      <c r="C5" s="415"/>
      <c r="D5" s="408" t="str">
        <f>+Съдържание!C9</f>
        <v>гр. София 1220, ж.к. Надежда бл. 155, вх. В, ап. 71</v>
      </c>
      <c r="E5" s="408"/>
      <c r="F5" s="408"/>
      <c r="G5" s="408"/>
      <c r="H5" s="408"/>
      <c r="L5" s="58">
        <v>1</v>
      </c>
    </row>
    <row r="6" spans="1:12" x14ac:dyDescent="0.35">
      <c r="A6" s="404" t="s">
        <v>371</v>
      </c>
      <c r="B6" s="404"/>
      <c r="C6" s="404"/>
      <c r="D6" s="404"/>
      <c r="E6" s="404"/>
      <c r="F6" s="404"/>
      <c r="G6" s="404"/>
      <c r="H6" s="404"/>
      <c r="L6" s="58">
        <v>1</v>
      </c>
    </row>
    <row r="7" spans="1:12" x14ac:dyDescent="0.35">
      <c r="A7" s="445"/>
      <c r="B7" s="445"/>
      <c r="C7" s="445"/>
      <c r="D7" s="445"/>
      <c r="E7" s="445"/>
      <c r="F7" s="445"/>
      <c r="G7" s="445"/>
      <c r="H7" s="445"/>
      <c r="L7" s="58">
        <v>1</v>
      </c>
    </row>
    <row r="8" spans="1:12" ht="16.8" thickBot="1" x14ac:dyDescent="0.4">
      <c r="A8" s="446"/>
      <c r="B8" s="446"/>
      <c r="C8" s="446"/>
      <c r="D8" s="446"/>
      <c r="E8" s="446"/>
      <c r="F8" s="446"/>
      <c r="G8" s="446"/>
      <c r="H8" s="60" t="s">
        <v>101</v>
      </c>
      <c r="L8" s="58">
        <v>1</v>
      </c>
    </row>
    <row r="9" spans="1:12" ht="16.8" thickTop="1" x14ac:dyDescent="0.35">
      <c r="A9" s="452" t="s">
        <v>102</v>
      </c>
      <c r="B9" s="453"/>
      <c r="C9" s="456" t="s">
        <v>103</v>
      </c>
      <c r="D9" s="456"/>
      <c r="E9" s="456"/>
      <c r="F9" s="457" t="s">
        <v>104</v>
      </c>
      <c r="G9" s="457"/>
      <c r="H9" s="458"/>
      <c r="L9" s="58">
        <v>1</v>
      </c>
    </row>
    <row r="10" spans="1:12" x14ac:dyDescent="0.35">
      <c r="A10" s="454"/>
      <c r="B10" s="455"/>
      <c r="C10" s="61" t="s">
        <v>105</v>
      </c>
      <c r="D10" s="61" t="s">
        <v>106</v>
      </c>
      <c r="E10" s="61" t="s">
        <v>107</v>
      </c>
      <c r="F10" s="61" t="s">
        <v>105</v>
      </c>
      <c r="G10" s="61" t="s">
        <v>106</v>
      </c>
      <c r="H10" s="62" t="s">
        <v>107</v>
      </c>
      <c r="L10" s="58">
        <v>1</v>
      </c>
    </row>
    <row r="11" spans="1:12" x14ac:dyDescent="0.35">
      <c r="A11" s="447" t="s">
        <v>108</v>
      </c>
      <c r="B11" s="448"/>
      <c r="C11" s="63">
        <v>1</v>
      </c>
      <c r="D11" s="63">
        <v>2</v>
      </c>
      <c r="E11" s="63">
        <v>3</v>
      </c>
      <c r="F11" s="63">
        <v>4</v>
      </c>
      <c r="G11" s="63">
        <v>5</v>
      </c>
      <c r="H11" s="64">
        <v>6</v>
      </c>
      <c r="L11" s="58">
        <v>1</v>
      </c>
    </row>
    <row r="12" spans="1:12" x14ac:dyDescent="0.35">
      <c r="A12" s="65" t="s">
        <v>109</v>
      </c>
      <c r="B12" s="73" t="s">
        <v>110</v>
      </c>
      <c r="C12" s="75"/>
      <c r="D12" s="75"/>
      <c r="E12" s="75"/>
      <c r="F12" s="75"/>
      <c r="G12" s="75"/>
      <c r="H12" s="102"/>
      <c r="L12" s="58">
        <v>1</v>
      </c>
    </row>
    <row r="13" spans="1:12" x14ac:dyDescent="0.35">
      <c r="A13" s="66">
        <v>1</v>
      </c>
      <c r="B13" s="74" t="s">
        <v>111</v>
      </c>
      <c r="C13" s="75"/>
      <c r="D13" s="75"/>
      <c r="E13" s="114"/>
      <c r="F13" s="75"/>
      <c r="G13" s="75">
        <v>1</v>
      </c>
      <c r="H13" s="117">
        <v>-1</v>
      </c>
      <c r="L13" s="58" t="b">
        <f>OR(E13&lt;&gt;0,H13&lt;&gt;0)</f>
        <v>1</v>
      </c>
    </row>
    <row r="14" spans="1:12" hidden="1" x14ac:dyDescent="0.35">
      <c r="A14" s="66">
        <f>A13+1</f>
        <v>2</v>
      </c>
      <c r="B14" s="74" t="s">
        <v>301</v>
      </c>
      <c r="C14" s="75"/>
      <c r="D14" s="75"/>
      <c r="E14" s="114">
        <f t="shared" ref="E14:E19" si="0">C14-D14</f>
        <v>0</v>
      </c>
      <c r="F14" s="75"/>
      <c r="G14" s="75"/>
      <c r="H14" s="117">
        <f t="shared" ref="H14:H19" si="1">F14-G14</f>
        <v>0</v>
      </c>
      <c r="L14" s="58" t="b">
        <f t="shared" ref="L14:L20" si="2">OR(E14&lt;&gt;0,H14&lt;&gt;0)</f>
        <v>0</v>
      </c>
    </row>
    <row r="15" spans="1:12" x14ac:dyDescent="0.35">
      <c r="A15" s="66">
        <v>3</v>
      </c>
      <c r="B15" s="74" t="s">
        <v>112</v>
      </c>
      <c r="C15" s="75"/>
      <c r="D15" s="75"/>
      <c r="E15" s="114"/>
      <c r="F15" s="75"/>
      <c r="G15" s="75"/>
      <c r="H15" s="117"/>
      <c r="L15" s="58" t="b">
        <f t="shared" si="2"/>
        <v>0</v>
      </c>
    </row>
    <row r="16" spans="1:12" x14ac:dyDescent="0.35">
      <c r="A16" s="66">
        <f t="shared" ref="A16:A20" si="3">A15+1</f>
        <v>4</v>
      </c>
      <c r="B16" s="74" t="s">
        <v>299</v>
      </c>
      <c r="C16" s="75"/>
      <c r="D16" s="75"/>
      <c r="E16" s="114"/>
      <c r="F16" s="75"/>
      <c r="G16" s="75"/>
      <c r="H16" s="117"/>
      <c r="L16" s="58" t="b">
        <f t="shared" si="2"/>
        <v>0</v>
      </c>
    </row>
    <row r="17" spans="1:12" hidden="1" x14ac:dyDescent="0.35">
      <c r="A17" s="66">
        <v>5</v>
      </c>
      <c r="B17" s="74" t="s">
        <v>300</v>
      </c>
      <c r="C17" s="75"/>
      <c r="D17" s="75"/>
      <c r="E17" s="114">
        <f t="shared" si="0"/>
        <v>0</v>
      </c>
      <c r="F17" s="75"/>
      <c r="G17" s="75"/>
      <c r="H17" s="117">
        <f t="shared" si="1"/>
        <v>0</v>
      </c>
      <c r="L17" s="58" t="b">
        <f t="shared" si="2"/>
        <v>0</v>
      </c>
    </row>
    <row r="18" spans="1:12" x14ac:dyDescent="0.35">
      <c r="A18" s="66">
        <v>6</v>
      </c>
      <c r="B18" s="74" t="s">
        <v>113</v>
      </c>
      <c r="C18" s="75"/>
      <c r="D18" s="75"/>
      <c r="E18" s="114"/>
      <c r="F18" s="75"/>
      <c r="G18" s="75"/>
      <c r="H18" s="117"/>
      <c r="L18" s="58" t="b">
        <f t="shared" si="2"/>
        <v>0</v>
      </c>
    </row>
    <row r="19" spans="1:12" hidden="1" x14ac:dyDescent="0.35">
      <c r="A19" s="66">
        <f t="shared" si="3"/>
        <v>7</v>
      </c>
      <c r="B19" s="74" t="s">
        <v>114</v>
      </c>
      <c r="C19" s="75"/>
      <c r="D19" s="75"/>
      <c r="E19" s="114">
        <f t="shared" si="0"/>
        <v>0</v>
      </c>
      <c r="F19" s="75"/>
      <c r="G19" s="75"/>
      <c r="H19" s="117">
        <f t="shared" si="1"/>
        <v>0</v>
      </c>
      <c r="L19" s="58" t="b">
        <f t="shared" si="2"/>
        <v>0</v>
      </c>
    </row>
    <row r="20" spans="1:12" ht="16.8" thickBot="1" x14ac:dyDescent="0.4">
      <c r="A20" s="67">
        <f t="shared" si="3"/>
        <v>8</v>
      </c>
      <c r="B20" s="76" t="s">
        <v>115</v>
      </c>
      <c r="C20" s="77"/>
      <c r="D20" s="77"/>
      <c r="E20" s="114"/>
      <c r="F20" s="77"/>
      <c r="G20" s="77"/>
      <c r="H20" s="117"/>
      <c r="L20" s="58" t="b">
        <f t="shared" si="2"/>
        <v>0</v>
      </c>
    </row>
    <row r="21" spans="1:12" ht="17.399999999999999" thickTop="1" thickBot="1" x14ac:dyDescent="0.4">
      <c r="A21" s="68"/>
      <c r="B21" s="78" t="s">
        <v>116</v>
      </c>
      <c r="C21" s="115"/>
      <c r="D21" s="115"/>
      <c r="E21" s="115"/>
      <c r="F21" s="115"/>
      <c r="G21" s="115">
        <v>1</v>
      </c>
      <c r="H21" s="115">
        <v>-1</v>
      </c>
      <c r="L21" s="58">
        <v>1</v>
      </c>
    </row>
    <row r="22" spans="1:12" ht="16.8" thickTop="1" x14ac:dyDescent="0.35">
      <c r="A22" s="69" t="s">
        <v>117</v>
      </c>
      <c r="B22" s="79" t="s">
        <v>118</v>
      </c>
      <c r="C22" s="80"/>
      <c r="D22" s="80"/>
      <c r="E22" s="114"/>
      <c r="F22" s="80"/>
      <c r="G22" s="80"/>
      <c r="H22" s="118"/>
      <c r="L22" s="58">
        <v>1</v>
      </c>
    </row>
    <row r="23" spans="1:12" ht="16.8" thickBot="1" x14ac:dyDescent="0.4">
      <c r="A23" s="66">
        <v>1</v>
      </c>
      <c r="B23" s="74" t="s">
        <v>119</v>
      </c>
      <c r="C23" s="75"/>
      <c r="D23" s="75"/>
      <c r="E23" s="114"/>
      <c r="F23" s="75"/>
      <c r="G23" s="75"/>
      <c r="H23" s="117"/>
      <c r="L23" s="58" t="b">
        <f t="shared" ref="L23:L28" si="4">OR(E23&lt;&gt;0,H23&lt;&gt;0)</f>
        <v>0</v>
      </c>
    </row>
    <row r="24" spans="1:12" hidden="1" x14ac:dyDescent="0.35">
      <c r="A24" s="66">
        <v>2</v>
      </c>
      <c r="B24" s="74" t="s">
        <v>301</v>
      </c>
      <c r="C24" s="75"/>
      <c r="D24" s="75"/>
      <c r="E24" s="114">
        <f t="shared" ref="E24:E28" si="5">C24-D24</f>
        <v>0</v>
      </c>
      <c r="F24" s="75"/>
      <c r="G24" s="75"/>
      <c r="H24" s="117">
        <f t="shared" ref="H24:H28" si="6">F24-G24</f>
        <v>0</v>
      </c>
      <c r="L24" s="58" t="b">
        <f t="shared" si="4"/>
        <v>0</v>
      </c>
    </row>
    <row r="25" spans="1:12" hidden="1" x14ac:dyDescent="0.35">
      <c r="A25" s="66">
        <v>3</v>
      </c>
      <c r="B25" s="74" t="s">
        <v>299</v>
      </c>
      <c r="C25" s="75"/>
      <c r="D25" s="75"/>
      <c r="E25" s="114">
        <f t="shared" si="5"/>
        <v>0</v>
      </c>
      <c r="F25" s="75"/>
      <c r="G25" s="75"/>
      <c r="H25" s="117">
        <f t="shared" si="6"/>
        <v>0</v>
      </c>
      <c r="L25" s="58" t="b">
        <f t="shared" si="4"/>
        <v>0</v>
      </c>
    </row>
    <row r="26" spans="1:12" hidden="1" x14ac:dyDescent="0.35">
      <c r="A26" s="66">
        <v>4</v>
      </c>
      <c r="B26" s="74" t="s">
        <v>120</v>
      </c>
      <c r="C26" s="75"/>
      <c r="D26" s="75"/>
      <c r="E26" s="114">
        <f t="shared" si="5"/>
        <v>0</v>
      </c>
      <c r="F26" s="75"/>
      <c r="G26" s="75"/>
      <c r="H26" s="117">
        <f t="shared" si="6"/>
        <v>0</v>
      </c>
      <c r="L26" s="58" t="b">
        <f t="shared" si="4"/>
        <v>0</v>
      </c>
    </row>
    <row r="27" spans="1:12" hidden="1" x14ac:dyDescent="0.35">
      <c r="A27" s="66">
        <v>5</v>
      </c>
      <c r="B27" s="74" t="s">
        <v>300</v>
      </c>
      <c r="C27" s="75"/>
      <c r="D27" s="75"/>
      <c r="E27" s="114">
        <f t="shared" si="5"/>
        <v>0</v>
      </c>
      <c r="F27" s="75"/>
      <c r="G27" s="75"/>
      <c r="H27" s="117">
        <f t="shared" si="6"/>
        <v>0</v>
      </c>
      <c r="L27" s="58" t="b">
        <f t="shared" si="4"/>
        <v>0</v>
      </c>
    </row>
    <row r="28" spans="1:12" ht="16.8" hidden="1" thickBot="1" x14ac:dyDescent="0.4">
      <c r="A28" s="67">
        <v>6</v>
      </c>
      <c r="B28" s="76" t="s">
        <v>121</v>
      </c>
      <c r="C28" s="77"/>
      <c r="D28" s="77"/>
      <c r="E28" s="114">
        <f t="shared" si="5"/>
        <v>0</v>
      </c>
      <c r="F28" s="77"/>
      <c r="G28" s="77"/>
      <c r="H28" s="117">
        <f t="shared" si="6"/>
        <v>0</v>
      </c>
      <c r="L28" s="58" t="b">
        <f t="shared" si="4"/>
        <v>0</v>
      </c>
    </row>
    <row r="29" spans="1:12" ht="17.399999999999999" thickTop="1" thickBot="1" x14ac:dyDescent="0.4">
      <c r="A29" s="68"/>
      <c r="B29" s="78" t="s">
        <v>122</v>
      </c>
      <c r="C29" s="115"/>
      <c r="D29" s="115"/>
      <c r="E29" s="115"/>
      <c r="F29" s="115"/>
      <c r="G29" s="115"/>
      <c r="H29" s="115"/>
      <c r="L29" s="58">
        <v>1</v>
      </c>
    </row>
    <row r="30" spans="1:12" ht="16.8" thickTop="1" x14ac:dyDescent="0.35">
      <c r="A30" s="69" t="s">
        <v>123</v>
      </c>
      <c r="B30" s="79" t="s">
        <v>124</v>
      </c>
      <c r="C30" s="80"/>
      <c r="D30" s="80"/>
      <c r="E30" s="114"/>
      <c r="F30" s="80"/>
      <c r="G30" s="80"/>
      <c r="H30" s="118"/>
      <c r="L30" s="58">
        <v>1</v>
      </c>
    </row>
    <row r="31" spans="1:12" hidden="1" x14ac:dyDescent="0.35">
      <c r="A31" s="66">
        <v>1</v>
      </c>
      <c r="B31" s="74" t="s">
        <v>302</v>
      </c>
      <c r="C31" s="75"/>
      <c r="D31" s="75"/>
      <c r="E31" s="114">
        <f t="shared" ref="E31:E36" si="7">C31-D31</f>
        <v>0</v>
      </c>
      <c r="F31" s="75"/>
      <c r="G31" s="75"/>
      <c r="H31" s="117">
        <f t="shared" ref="H31:H36" si="8">F31-G31</f>
        <v>0</v>
      </c>
      <c r="L31" s="58" t="b">
        <f t="shared" ref="L31:L37" si="9">OR(E31&lt;&gt;0,H31&lt;&gt;0)</f>
        <v>0</v>
      </c>
    </row>
    <row r="32" spans="1:12" hidden="1" x14ac:dyDescent="0.35">
      <c r="A32" s="66">
        <v>2</v>
      </c>
      <c r="B32" s="74" t="s">
        <v>303</v>
      </c>
      <c r="C32" s="75"/>
      <c r="D32" s="75"/>
      <c r="E32" s="114">
        <f t="shared" si="7"/>
        <v>0</v>
      </c>
      <c r="F32" s="75"/>
      <c r="G32" s="75"/>
      <c r="H32" s="117">
        <f t="shared" si="8"/>
        <v>0</v>
      </c>
      <c r="L32" s="58" t="b">
        <f t="shared" si="9"/>
        <v>0</v>
      </c>
    </row>
    <row r="33" spans="1:12" x14ac:dyDescent="0.35">
      <c r="A33" s="66">
        <v>3</v>
      </c>
      <c r="B33" s="74" t="s">
        <v>304</v>
      </c>
      <c r="C33" s="75"/>
      <c r="D33" s="75"/>
      <c r="E33" s="114"/>
      <c r="F33" s="75"/>
      <c r="G33" s="75"/>
      <c r="H33" s="117"/>
      <c r="L33" s="58" t="b">
        <f t="shared" si="9"/>
        <v>0</v>
      </c>
    </row>
    <row r="34" spans="1:12" x14ac:dyDescent="0.35">
      <c r="A34" s="66">
        <v>4</v>
      </c>
      <c r="B34" s="74" t="s">
        <v>305</v>
      </c>
      <c r="C34" s="75"/>
      <c r="D34" s="75"/>
      <c r="E34" s="114"/>
      <c r="F34" s="75"/>
      <c r="G34" s="75"/>
      <c r="H34" s="117"/>
      <c r="L34" s="58" t="b">
        <f t="shared" si="9"/>
        <v>0</v>
      </c>
    </row>
    <row r="35" spans="1:12" hidden="1" x14ac:dyDescent="0.35">
      <c r="A35" s="66">
        <v>5</v>
      </c>
      <c r="B35" s="74" t="s">
        <v>125</v>
      </c>
      <c r="C35" s="75"/>
      <c r="D35" s="75"/>
      <c r="E35" s="114">
        <f t="shared" si="7"/>
        <v>0</v>
      </c>
      <c r="F35" s="75"/>
      <c r="G35" s="75"/>
      <c r="H35" s="117">
        <f t="shared" si="8"/>
        <v>0</v>
      </c>
      <c r="L35" s="58" t="b">
        <f t="shared" si="9"/>
        <v>0</v>
      </c>
    </row>
    <row r="36" spans="1:12" hidden="1" x14ac:dyDescent="0.35">
      <c r="A36" s="66">
        <v>6</v>
      </c>
      <c r="B36" s="74" t="s">
        <v>300</v>
      </c>
      <c r="C36" s="75"/>
      <c r="D36" s="75"/>
      <c r="E36" s="114">
        <f t="shared" si="7"/>
        <v>0</v>
      </c>
      <c r="F36" s="75"/>
      <c r="G36" s="75"/>
      <c r="H36" s="117">
        <f t="shared" si="8"/>
        <v>0</v>
      </c>
      <c r="L36" s="58" t="b">
        <f t="shared" si="9"/>
        <v>0</v>
      </c>
    </row>
    <row r="37" spans="1:12" ht="16.8" thickBot="1" x14ac:dyDescent="0.4">
      <c r="A37" s="67">
        <v>7</v>
      </c>
      <c r="B37" s="76" t="s">
        <v>126</v>
      </c>
      <c r="C37" s="77"/>
      <c r="D37" s="77"/>
      <c r="E37" s="114"/>
      <c r="F37" s="77"/>
      <c r="G37" s="77"/>
      <c r="H37" s="117"/>
      <c r="L37" s="58" t="b">
        <f t="shared" si="9"/>
        <v>0</v>
      </c>
    </row>
    <row r="38" spans="1:12" ht="17.399999999999999" thickTop="1" thickBot="1" x14ac:dyDescent="0.4">
      <c r="A38" s="70"/>
      <c r="B38" s="81" t="s">
        <v>127</v>
      </c>
      <c r="C38" s="116"/>
      <c r="D38" s="116"/>
      <c r="E38" s="116"/>
      <c r="F38" s="116"/>
      <c r="G38" s="116"/>
      <c r="H38" s="116"/>
      <c r="L38" s="58">
        <v>1</v>
      </c>
    </row>
    <row r="39" spans="1:12" ht="17.399999999999999" thickTop="1" thickBot="1" x14ac:dyDescent="0.4">
      <c r="A39" s="71" t="s">
        <v>128</v>
      </c>
      <c r="B39" s="82" t="s">
        <v>129</v>
      </c>
      <c r="C39" s="119"/>
      <c r="D39" s="119"/>
      <c r="E39" s="115"/>
      <c r="F39" s="119"/>
      <c r="G39" s="119">
        <v>1</v>
      </c>
      <c r="H39" s="115">
        <v>-1</v>
      </c>
      <c r="L39" s="58">
        <v>1</v>
      </c>
    </row>
    <row r="40" spans="1:12" ht="17.399999999999999" thickTop="1" thickBot="1" x14ac:dyDescent="0.4">
      <c r="A40" s="69" t="s">
        <v>130</v>
      </c>
      <c r="B40" s="83" t="s">
        <v>131</v>
      </c>
      <c r="C40" s="80"/>
      <c r="D40" s="84"/>
      <c r="E40" s="115">
        <v>15</v>
      </c>
      <c r="F40" s="85"/>
      <c r="G40" s="84"/>
      <c r="H40" s="115">
        <v>16</v>
      </c>
      <c r="L40" s="58">
        <v>1</v>
      </c>
    </row>
    <row r="41" spans="1:12" ht="17.399999999999999" thickTop="1" thickBot="1" x14ac:dyDescent="0.4">
      <c r="A41" s="72" t="s">
        <v>132</v>
      </c>
      <c r="B41" s="86" t="s">
        <v>133</v>
      </c>
      <c r="C41" s="87"/>
      <c r="D41" s="88"/>
      <c r="E41" s="115">
        <v>15</v>
      </c>
      <c r="F41" s="89"/>
      <c r="G41" s="88"/>
      <c r="H41" s="115">
        <v>15</v>
      </c>
      <c r="L41" s="58">
        <v>1</v>
      </c>
    </row>
    <row r="42" spans="1:12" ht="16.8" thickTop="1" x14ac:dyDescent="0.35">
      <c r="A42" s="417"/>
      <c r="B42" s="417"/>
      <c r="C42" s="417"/>
      <c r="D42" s="417"/>
      <c r="E42" s="451"/>
      <c r="F42" s="451"/>
      <c r="G42" s="451"/>
      <c r="H42" s="451"/>
      <c r="L42" s="58">
        <v>1</v>
      </c>
    </row>
    <row r="43" spans="1:12" x14ac:dyDescent="0.35">
      <c r="A43" s="442"/>
      <c r="B43" s="442"/>
      <c r="C43" s="442"/>
      <c r="D43" s="442"/>
      <c r="E43" s="442"/>
      <c r="F43" s="442"/>
      <c r="G43" s="442"/>
      <c r="H43" s="442"/>
      <c r="L43" s="58">
        <v>1</v>
      </c>
    </row>
    <row r="44" spans="1:12" x14ac:dyDescent="0.35">
      <c r="A44" s="443" t="str">
        <f>+'ОПР съкратен'!A26:C26</f>
        <v>Дата на съставяне:</v>
      </c>
      <c r="B44" s="443"/>
      <c r="C44" s="443"/>
      <c r="D44" s="443"/>
      <c r="E44" s="445"/>
      <c r="F44" s="445"/>
      <c r="G44" s="445"/>
      <c r="H44" s="445"/>
      <c r="L44" s="58">
        <v>1</v>
      </c>
    </row>
    <row r="45" spans="1:12" x14ac:dyDescent="0.35">
      <c r="A45" s="444">
        <f>+'ОПР съкратен'!A27:C27</f>
        <v>44312</v>
      </c>
      <c r="B45" s="444"/>
      <c r="C45" s="444"/>
      <c r="D45" s="444"/>
      <c r="E45" s="445"/>
      <c r="F45" s="445"/>
      <c r="G45" s="445"/>
      <c r="H45" s="445"/>
      <c r="L45" s="58">
        <v>1</v>
      </c>
    </row>
    <row r="46" spans="1:12" x14ac:dyDescent="0.35">
      <c r="A46" s="445"/>
      <c r="B46" s="445"/>
      <c r="C46" s="445"/>
      <c r="D46" s="445"/>
      <c r="E46" s="445"/>
      <c r="F46" s="445"/>
      <c r="G46" s="445"/>
      <c r="H46" s="445"/>
      <c r="L46" s="58">
        <v>1</v>
      </c>
    </row>
    <row r="47" spans="1:12" x14ac:dyDescent="0.35">
      <c r="A47" s="443" t="str">
        <f>+'ОПР съкратен'!A29:C29</f>
        <v>Съставител:</v>
      </c>
      <c r="B47" s="443"/>
      <c r="C47" s="443"/>
      <c r="D47" s="443"/>
      <c r="E47" s="412" t="str">
        <f>+'ОПР съкратен'!E29:G29</f>
        <v>Ръководител:</v>
      </c>
      <c r="F47" s="412"/>
      <c r="G47" s="412"/>
      <c r="H47" s="412"/>
      <c r="L47" s="58">
        <v>1</v>
      </c>
    </row>
    <row r="48" spans="1:12" x14ac:dyDescent="0.35">
      <c r="A48" s="443" t="str">
        <f>+'ОПР съкратен'!A30:C30</f>
        <v>ЖАНА МИЛЧОВА ГЪЛЪБОВА</v>
      </c>
      <c r="B48" s="443"/>
      <c r="C48" s="443"/>
      <c r="D48" s="443"/>
      <c r="E48" s="443" t="str">
        <f>+'ОПР съкратен'!E30:G30</f>
        <v>ДИМИТЪР ЙОРДАНОВ ИВАНОВ</v>
      </c>
      <c r="F48" s="443"/>
      <c r="G48" s="443"/>
      <c r="H48" s="443"/>
      <c r="L48" s="58">
        <v>1</v>
      </c>
    </row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</sheetData>
  <autoFilter ref="L1:L59" xr:uid="{00000000-0009-0000-0000-000007000000}">
    <filterColumn colId="0">
      <filters>
        <filter val="1"/>
        <filter val="TRUE"/>
      </filters>
    </filterColumn>
  </autoFilter>
  <mergeCells count="25">
    <mergeCell ref="A42:D42"/>
    <mergeCell ref="E42:H42"/>
    <mergeCell ref="A9:B10"/>
    <mergeCell ref="C9:E9"/>
    <mergeCell ref="F9:H9"/>
    <mergeCell ref="A8:G8"/>
    <mergeCell ref="A11:B11"/>
    <mergeCell ref="A2:H2"/>
    <mergeCell ref="B1:H1"/>
    <mergeCell ref="D5:H5"/>
    <mergeCell ref="A7:H7"/>
    <mergeCell ref="A5:C5"/>
    <mergeCell ref="A3:H3"/>
    <mergeCell ref="A4:H4"/>
    <mergeCell ref="A6:H6"/>
    <mergeCell ref="A43:H43"/>
    <mergeCell ref="A44:D44"/>
    <mergeCell ref="A48:D48"/>
    <mergeCell ref="E47:H47"/>
    <mergeCell ref="E48:H48"/>
    <mergeCell ref="A45:D45"/>
    <mergeCell ref="E45:H45"/>
    <mergeCell ref="A47:D47"/>
    <mergeCell ref="A46:H46"/>
    <mergeCell ref="E44:H44"/>
  </mergeCells>
  <printOptions horizontalCentered="1"/>
  <pageMargins left="0.59055118110236227" right="0.39370078740157483" top="0.74803149606299213" bottom="0.74803149606299213" header="0.31496062992125984" footer="0.31496062992125984"/>
  <pageSetup paperSize="9" scale="77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 filterMode="1">
    <pageSetUpPr fitToPage="1"/>
  </sheetPr>
  <dimension ref="A1:P40"/>
  <sheetViews>
    <sheetView showGridLines="0" workbookViewId="0">
      <selection activeCell="N29" sqref="N29"/>
    </sheetView>
  </sheetViews>
  <sheetFormatPr defaultColWidth="9.109375" defaultRowHeight="10.199999999999999" x14ac:dyDescent="0.2"/>
  <cols>
    <col min="1" max="1" width="50.88671875" style="1" customWidth="1"/>
    <col min="2" max="12" width="11.6640625" style="1" customWidth="1"/>
    <col min="13" max="15" width="9.109375" style="1"/>
    <col min="16" max="16" width="0" style="1" hidden="1" customWidth="1"/>
    <col min="17" max="16384" width="9.109375" style="1"/>
  </cols>
  <sheetData>
    <row r="1" spans="1:16" x14ac:dyDescent="0.2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P1" s="1">
        <v>1</v>
      </c>
    </row>
    <row r="2" spans="1:16" x14ac:dyDescent="0.2">
      <c r="A2" s="477" t="s">
        <v>266</v>
      </c>
      <c r="B2" s="477"/>
      <c r="C2" s="477"/>
      <c r="D2" s="477"/>
      <c r="E2" s="477"/>
      <c r="F2" s="477"/>
      <c r="G2" s="477"/>
      <c r="H2" s="477"/>
      <c r="I2" s="477"/>
      <c r="J2" s="477"/>
      <c r="K2" s="477"/>
      <c r="L2" s="477"/>
      <c r="P2" s="1">
        <v>1</v>
      </c>
    </row>
    <row r="3" spans="1:16" x14ac:dyDescent="0.2">
      <c r="A3" s="465" t="s">
        <v>134</v>
      </c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P3" s="1">
        <v>1</v>
      </c>
    </row>
    <row r="4" spans="1:16" x14ac:dyDescent="0.2">
      <c r="A4" s="465" t="s">
        <v>135</v>
      </c>
      <c r="B4" s="465"/>
      <c r="C4" s="465"/>
      <c r="D4" s="465"/>
      <c r="E4" s="465"/>
      <c r="F4" s="465"/>
      <c r="G4" s="465"/>
      <c r="H4" s="465"/>
      <c r="I4" s="465"/>
      <c r="J4" s="465"/>
      <c r="K4" s="465"/>
      <c r="L4" s="465"/>
      <c r="P4" s="1">
        <v>1</v>
      </c>
    </row>
    <row r="5" spans="1:16" x14ac:dyDescent="0.2">
      <c r="A5" s="466" t="str">
        <f>+Съдържание!C7</f>
        <v>" КАМИБО " ЕООД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P5" s="1">
        <v>1</v>
      </c>
    </row>
    <row r="6" spans="1:16" x14ac:dyDescent="0.2">
      <c r="A6" s="478" t="str">
        <f>+Съдържание!C8</f>
        <v>ЕИК/ПИК: 131157890</v>
      </c>
      <c r="B6" s="478"/>
      <c r="C6" s="478"/>
      <c r="D6" s="478"/>
      <c r="E6" s="478"/>
      <c r="F6" s="479" t="str">
        <f>+Съдържание!C9</f>
        <v>гр. София 1220, ж.к. Надежда бл. 155, вх. В, ап. 71</v>
      </c>
      <c r="G6" s="479"/>
      <c r="H6" s="479"/>
      <c r="I6" s="479"/>
      <c r="J6" s="479"/>
      <c r="K6" s="479"/>
      <c r="L6" s="479"/>
      <c r="P6" s="1">
        <v>1</v>
      </c>
    </row>
    <row r="7" spans="1:16" x14ac:dyDescent="0.2">
      <c r="A7" s="466" t="s">
        <v>371</v>
      </c>
      <c r="B7" s="466"/>
      <c r="C7" s="466"/>
      <c r="D7" s="466"/>
      <c r="E7" s="466"/>
      <c r="F7" s="466"/>
      <c r="G7" s="466"/>
      <c r="H7" s="466"/>
      <c r="I7" s="466"/>
      <c r="J7" s="466"/>
      <c r="K7" s="466"/>
      <c r="L7" s="466"/>
      <c r="P7" s="1">
        <v>1</v>
      </c>
    </row>
    <row r="8" spans="1:16" ht="10.8" thickBot="1" x14ac:dyDescent="0.25">
      <c r="L8" s="2" t="s">
        <v>101</v>
      </c>
      <c r="P8" s="1">
        <v>1</v>
      </c>
    </row>
    <row r="9" spans="1:16" ht="10.8" thickTop="1" x14ac:dyDescent="0.2">
      <c r="A9" s="467" t="s">
        <v>136</v>
      </c>
      <c r="B9" s="470" t="s">
        <v>137</v>
      </c>
      <c r="C9" s="470" t="s">
        <v>138</v>
      </c>
      <c r="D9" s="470" t="s">
        <v>139</v>
      </c>
      <c r="E9" s="473" t="s">
        <v>140</v>
      </c>
      <c r="F9" s="473"/>
      <c r="G9" s="473"/>
      <c r="H9" s="473"/>
      <c r="I9" s="470" t="s">
        <v>141</v>
      </c>
      <c r="J9" s="470"/>
      <c r="K9" s="470" t="s">
        <v>142</v>
      </c>
      <c r="L9" s="474" t="s">
        <v>143</v>
      </c>
      <c r="P9" s="1">
        <v>1</v>
      </c>
    </row>
    <row r="10" spans="1:16" x14ac:dyDescent="0.2">
      <c r="A10" s="468"/>
      <c r="B10" s="471"/>
      <c r="C10" s="471"/>
      <c r="D10" s="471"/>
      <c r="E10" s="471" t="s">
        <v>144</v>
      </c>
      <c r="F10" s="471" t="s">
        <v>145</v>
      </c>
      <c r="G10" s="471" t="s">
        <v>146</v>
      </c>
      <c r="H10" s="471" t="s">
        <v>147</v>
      </c>
      <c r="I10" s="471"/>
      <c r="J10" s="471"/>
      <c r="K10" s="471"/>
      <c r="L10" s="475"/>
      <c r="P10" s="1">
        <v>1</v>
      </c>
    </row>
    <row r="11" spans="1:16" x14ac:dyDescent="0.2">
      <c r="A11" s="468"/>
      <c r="B11" s="471"/>
      <c r="C11" s="471"/>
      <c r="D11" s="471"/>
      <c r="E11" s="471"/>
      <c r="F11" s="471"/>
      <c r="G11" s="471"/>
      <c r="H11" s="471"/>
      <c r="I11" s="471" t="s">
        <v>148</v>
      </c>
      <c r="J11" s="471" t="s">
        <v>149</v>
      </c>
      <c r="K11" s="471"/>
      <c r="L11" s="475"/>
      <c r="P11" s="1">
        <v>1</v>
      </c>
    </row>
    <row r="12" spans="1:16" ht="10.8" thickBot="1" x14ac:dyDescent="0.25">
      <c r="A12" s="469"/>
      <c r="B12" s="472"/>
      <c r="C12" s="472"/>
      <c r="D12" s="472"/>
      <c r="E12" s="472"/>
      <c r="F12" s="472"/>
      <c r="G12" s="472"/>
      <c r="H12" s="472"/>
      <c r="I12" s="472"/>
      <c r="J12" s="472"/>
      <c r="K12" s="472"/>
      <c r="L12" s="476"/>
      <c r="P12" s="1">
        <v>1</v>
      </c>
    </row>
    <row r="13" spans="1:16" ht="14.4" thickTop="1" thickBot="1" x14ac:dyDescent="0.3">
      <c r="A13" s="3" t="s">
        <v>108</v>
      </c>
      <c r="B13" s="4">
        <v>1</v>
      </c>
      <c r="C13" s="4">
        <v>2</v>
      </c>
      <c r="D13" s="4">
        <v>3</v>
      </c>
      <c r="E13" s="4">
        <v>4</v>
      </c>
      <c r="F13" s="4">
        <v>5</v>
      </c>
      <c r="G13" s="4">
        <v>6</v>
      </c>
      <c r="H13" s="4">
        <v>7</v>
      </c>
      <c r="I13" s="4">
        <v>8</v>
      </c>
      <c r="J13" s="4">
        <v>9</v>
      </c>
      <c r="K13" s="4">
        <v>10</v>
      </c>
      <c r="L13" s="4">
        <v>11</v>
      </c>
      <c r="P13" s="1">
        <v>1</v>
      </c>
    </row>
    <row r="14" spans="1:16" ht="13.8" thickTop="1" x14ac:dyDescent="0.25">
      <c r="A14" s="5" t="s">
        <v>150</v>
      </c>
      <c r="B14" s="6">
        <v>5</v>
      </c>
      <c r="C14" s="6"/>
      <c r="D14" s="6"/>
      <c r="E14" s="6"/>
      <c r="F14" s="6"/>
      <c r="G14" s="6"/>
      <c r="H14" s="6">
        <v>4602</v>
      </c>
      <c r="I14" s="6">
        <v>325</v>
      </c>
      <c r="J14" s="6">
        <v>-4316</v>
      </c>
      <c r="K14" s="6">
        <v>-721</v>
      </c>
      <c r="L14" s="121">
        <v>-105</v>
      </c>
      <c r="P14" s="1">
        <v>1</v>
      </c>
    </row>
    <row r="15" spans="1:16" ht="13.2" x14ac:dyDescent="0.25">
      <c r="A15" s="7" t="s">
        <v>151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122"/>
      <c r="P15" s="1">
        <f>IF(L15&lt;&gt;0,1,0)</f>
        <v>0</v>
      </c>
    </row>
    <row r="16" spans="1:16" ht="13.8" thickBot="1" x14ac:dyDescent="0.3">
      <c r="A16" s="7" t="s">
        <v>152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123"/>
      <c r="P16" s="1">
        <f>IF(L16&lt;&gt;0,1,0)</f>
        <v>0</v>
      </c>
    </row>
    <row r="17" spans="1:16" ht="27.6" thickTop="1" thickBot="1" x14ac:dyDescent="0.3">
      <c r="A17" s="10" t="s">
        <v>153</v>
      </c>
      <c r="B17" s="120">
        <v>5</v>
      </c>
      <c r="C17" s="120"/>
      <c r="D17" s="120"/>
      <c r="E17" s="120"/>
      <c r="F17" s="120"/>
      <c r="G17" s="120"/>
      <c r="H17" s="120">
        <v>4602</v>
      </c>
      <c r="I17" s="120">
        <v>325</v>
      </c>
      <c r="J17" s="120">
        <v>-4316</v>
      </c>
      <c r="K17" s="120">
        <v>-721</v>
      </c>
      <c r="L17" s="120">
        <v>-105</v>
      </c>
      <c r="P17" s="1">
        <v>1</v>
      </c>
    </row>
    <row r="18" spans="1:16" ht="13.8" hidden="1" thickTop="1" x14ac:dyDescent="0.25">
      <c r="A18" s="11" t="s">
        <v>154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121">
        <f t="shared" ref="L18:L31" si="0">SUM(B18:K18)</f>
        <v>0</v>
      </c>
      <c r="P18" s="1">
        <f t="shared" ref="P18:P28" si="1">IF(L18&lt;&gt;0,1,0)</f>
        <v>0</v>
      </c>
    </row>
    <row r="19" spans="1:16" ht="13.2" hidden="1" x14ac:dyDescent="0.25">
      <c r="A19" s="12" t="s">
        <v>155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122">
        <f t="shared" si="0"/>
        <v>0</v>
      </c>
      <c r="P19" s="1">
        <f t="shared" si="1"/>
        <v>0</v>
      </c>
    </row>
    <row r="20" spans="1:16" ht="13.2" hidden="1" x14ac:dyDescent="0.25">
      <c r="A20" s="12" t="s">
        <v>156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122">
        <f t="shared" si="0"/>
        <v>0</v>
      </c>
      <c r="P20" s="1">
        <f t="shared" si="1"/>
        <v>0</v>
      </c>
    </row>
    <row r="21" spans="1:16" ht="13.8" thickTop="1" x14ac:dyDescent="0.25">
      <c r="A21" s="7" t="s">
        <v>157</v>
      </c>
      <c r="B21" s="8"/>
      <c r="C21" s="8"/>
      <c r="D21" s="8"/>
      <c r="E21" s="8"/>
      <c r="F21" s="8"/>
      <c r="G21" s="8"/>
      <c r="H21" s="8"/>
      <c r="I21" s="8"/>
      <c r="J21" s="8"/>
      <c r="K21" s="8">
        <v>-1053</v>
      </c>
      <c r="L21" s="122">
        <v>-1053</v>
      </c>
      <c r="P21" s="1">
        <f t="shared" si="1"/>
        <v>1</v>
      </c>
    </row>
    <row r="22" spans="1:16" ht="13.8" hidden="1" thickBot="1" x14ac:dyDescent="0.3">
      <c r="A22" s="7" t="s">
        <v>158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122">
        <f t="shared" si="0"/>
        <v>0</v>
      </c>
      <c r="P22" s="1">
        <f t="shared" si="1"/>
        <v>0</v>
      </c>
    </row>
    <row r="23" spans="1:16" ht="13.8" hidden="1" thickBot="1" x14ac:dyDescent="0.3">
      <c r="A23" s="7" t="s">
        <v>159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122">
        <f t="shared" si="0"/>
        <v>0</v>
      </c>
      <c r="P23" s="1">
        <f t="shared" si="1"/>
        <v>0</v>
      </c>
    </row>
    <row r="24" spans="1:16" ht="13.8" hidden="1" thickBot="1" x14ac:dyDescent="0.3">
      <c r="A24" s="7" t="s">
        <v>160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122">
        <f t="shared" si="0"/>
        <v>0</v>
      </c>
      <c r="P24" s="1">
        <f t="shared" si="1"/>
        <v>0</v>
      </c>
    </row>
    <row r="25" spans="1:16" ht="13.8" hidden="1" thickBot="1" x14ac:dyDescent="0.3">
      <c r="A25" s="7" t="s">
        <v>161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122">
        <f t="shared" si="0"/>
        <v>0</v>
      </c>
      <c r="P25" s="1">
        <f t="shared" si="1"/>
        <v>0</v>
      </c>
    </row>
    <row r="26" spans="1:16" ht="13.8" hidden="1" thickBot="1" x14ac:dyDescent="0.3">
      <c r="A26" s="12" t="s">
        <v>162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122">
        <f t="shared" si="0"/>
        <v>0</v>
      </c>
      <c r="P26" s="1">
        <f t="shared" si="1"/>
        <v>0</v>
      </c>
    </row>
    <row r="27" spans="1:16" ht="13.8" hidden="1" thickBot="1" x14ac:dyDescent="0.3">
      <c r="A27" s="12" t="s">
        <v>163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122">
        <f t="shared" si="0"/>
        <v>0</v>
      </c>
      <c r="P27" s="1">
        <f t="shared" si="1"/>
        <v>0</v>
      </c>
    </row>
    <row r="28" spans="1:16" ht="13.8" thickBot="1" x14ac:dyDescent="0.3">
      <c r="A28" s="13" t="s">
        <v>164</v>
      </c>
      <c r="B28" s="9"/>
      <c r="C28" s="9"/>
      <c r="D28" s="9"/>
      <c r="E28" s="9"/>
      <c r="F28" s="9"/>
      <c r="G28" s="9"/>
      <c r="H28" s="9"/>
      <c r="I28" s="9"/>
      <c r="J28" s="9">
        <v>-721</v>
      </c>
      <c r="K28" s="9">
        <v>721</v>
      </c>
      <c r="L28" s="123"/>
      <c r="P28" s="1">
        <f t="shared" si="1"/>
        <v>0</v>
      </c>
    </row>
    <row r="29" spans="1:16" ht="14.4" thickTop="1" thickBot="1" x14ac:dyDescent="0.3">
      <c r="A29" s="14" t="s">
        <v>165</v>
      </c>
      <c r="B29" s="120">
        <v>5</v>
      </c>
      <c r="C29" s="120"/>
      <c r="D29" s="120"/>
      <c r="E29" s="120"/>
      <c r="F29" s="120"/>
      <c r="G29" s="120"/>
      <c r="H29" s="120">
        <v>4602</v>
      </c>
      <c r="I29" s="120">
        <v>325</v>
      </c>
      <c r="J29" s="120">
        <v>-5037</v>
      </c>
      <c r="K29" s="120">
        <v>-1053</v>
      </c>
      <c r="L29" s="120">
        <v>-1158</v>
      </c>
      <c r="P29" s="1">
        <v>1</v>
      </c>
    </row>
    <row r="30" spans="1:16" ht="14.4" hidden="1" thickTop="1" thickBot="1" x14ac:dyDescent="0.3">
      <c r="A30" s="13" t="s">
        <v>166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121">
        <f t="shared" si="0"/>
        <v>0</v>
      </c>
      <c r="P30" s="1">
        <f>IF(L30&lt;&gt;0,1,0)</f>
        <v>0</v>
      </c>
    </row>
    <row r="31" spans="1:16" ht="14.4" hidden="1" thickTop="1" thickBot="1" x14ac:dyDescent="0.3">
      <c r="A31" s="7" t="s">
        <v>167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123">
        <f t="shared" si="0"/>
        <v>0</v>
      </c>
      <c r="P31" s="1">
        <f>IF(L31&lt;&gt;0,1,0)</f>
        <v>0</v>
      </c>
    </row>
    <row r="32" spans="1:16" ht="13.8" thickTop="1" x14ac:dyDescent="0.25">
      <c r="A32" s="14" t="s">
        <v>168</v>
      </c>
      <c r="B32" s="460">
        <v>5</v>
      </c>
      <c r="C32" s="460"/>
      <c r="D32" s="460"/>
      <c r="E32" s="460"/>
      <c r="F32" s="460"/>
      <c r="G32" s="460"/>
      <c r="H32" s="460">
        <v>4602</v>
      </c>
      <c r="I32" s="460">
        <v>325</v>
      </c>
      <c r="J32" s="460">
        <v>-5037</v>
      </c>
      <c r="K32" s="460">
        <v>-1053</v>
      </c>
      <c r="L32" s="462">
        <v>-1158</v>
      </c>
      <c r="P32" s="1">
        <f>IF(L32&lt;&gt;0,1,0)</f>
        <v>1</v>
      </c>
    </row>
    <row r="33" spans="1:16" ht="13.8" thickBot="1" x14ac:dyDescent="0.3">
      <c r="A33" s="15" t="s">
        <v>169</v>
      </c>
      <c r="B33" s="461"/>
      <c r="C33" s="461"/>
      <c r="D33" s="461"/>
      <c r="E33" s="461"/>
      <c r="F33" s="461"/>
      <c r="G33" s="461"/>
      <c r="H33" s="461"/>
      <c r="I33" s="461"/>
      <c r="J33" s="461"/>
      <c r="K33" s="461"/>
      <c r="L33" s="463"/>
      <c r="P33" s="1">
        <v>1</v>
      </c>
    </row>
    <row r="34" spans="1:16" ht="13.8" thickTop="1" x14ac:dyDescent="0.25">
      <c r="A34" s="481"/>
      <c r="B34" s="481"/>
      <c r="C34" s="481"/>
      <c r="D34" s="481"/>
      <c r="E34" s="481"/>
      <c r="F34" s="481"/>
      <c r="G34" s="482"/>
      <c r="H34" s="482"/>
      <c r="I34" s="482"/>
      <c r="J34" s="482"/>
      <c r="K34" s="482"/>
      <c r="L34" s="482"/>
      <c r="P34" s="1">
        <v>1</v>
      </c>
    </row>
    <row r="35" spans="1:16" x14ac:dyDescent="0.2">
      <c r="P35" s="1">
        <v>1</v>
      </c>
    </row>
    <row r="36" spans="1:16" ht="11.4" x14ac:dyDescent="0.2">
      <c r="A36" s="90" t="str">
        <f>+ОПП!A44</f>
        <v>Дата на съставяне:</v>
      </c>
      <c r="P36" s="1">
        <v>1</v>
      </c>
    </row>
    <row r="37" spans="1:16" ht="11.4" x14ac:dyDescent="0.2">
      <c r="A37" s="480">
        <f>+Съдържание!C6</f>
        <v>44312</v>
      </c>
      <c r="B37" s="480"/>
      <c r="P37" s="1">
        <v>1</v>
      </c>
    </row>
    <row r="38" spans="1:16" x14ac:dyDescent="0.2">
      <c r="C38" s="459"/>
      <c r="D38" s="459"/>
      <c r="E38" s="459"/>
      <c r="F38" s="459"/>
      <c r="G38" s="459"/>
      <c r="H38" s="459"/>
      <c r="I38" s="459"/>
      <c r="J38" s="459"/>
      <c r="K38" s="459"/>
      <c r="L38" s="459"/>
      <c r="P38" s="1">
        <v>1</v>
      </c>
    </row>
    <row r="39" spans="1:16" ht="11.4" x14ac:dyDescent="0.2">
      <c r="A39" s="464" t="str">
        <f>+ОПП!A47</f>
        <v>Съставител:</v>
      </c>
      <c r="B39" s="464"/>
      <c r="C39" s="464"/>
      <c r="D39" s="464"/>
      <c r="E39" s="464"/>
      <c r="F39" s="464"/>
      <c r="G39" s="464" t="str">
        <f>+ОПП!E47</f>
        <v>Ръководител:</v>
      </c>
      <c r="H39" s="464"/>
      <c r="I39" s="464"/>
      <c r="J39" s="464"/>
      <c r="K39" s="464"/>
      <c r="L39" s="464"/>
      <c r="P39" s="1">
        <v>1</v>
      </c>
    </row>
    <row r="40" spans="1:16" ht="11.4" x14ac:dyDescent="0.2">
      <c r="A40" s="464" t="str">
        <f>+Съдържание!C11</f>
        <v>ЖАНА МИЛЧОВА ГЪЛЪБОВА</v>
      </c>
      <c r="B40" s="464"/>
      <c r="C40" s="464"/>
      <c r="D40" s="464"/>
      <c r="E40" s="464"/>
      <c r="F40" s="464"/>
      <c r="G40" s="464" t="str">
        <f>+Съдържание!C10</f>
        <v>ДИМИТЪР ЙОРДАНОВ ИВАНОВ</v>
      </c>
      <c r="H40" s="464"/>
      <c r="I40" s="464"/>
      <c r="J40" s="464"/>
      <c r="K40" s="464"/>
      <c r="L40" s="464"/>
      <c r="P40" s="1">
        <v>1</v>
      </c>
    </row>
  </sheetData>
  <autoFilter ref="P1:P40" xr:uid="{00000000-0009-0000-0000-000008000000}">
    <filterColumn colId="0">
      <filters>
        <filter val="1"/>
      </filters>
    </filterColumn>
  </autoFilter>
  <mergeCells count="42">
    <mergeCell ref="A1:L1"/>
    <mergeCell ref="A2:L2"/>
    <mergeCell ref="A6:E6"/>
    <mergeCell ref="F6:L6"/>
    <mergeCell ref="A37:B37"/>
    <mergeCell ref="A34:F34"/>
    <mergeCell ref="G34:L34"/>
    <mergeCell ref="E10:E12"/>
    <mergeCell ref="F10:F12"/>
    <mergeCell ref="G10:G12"/>
    <mergeCell ref="H10:H12"/>
    <mergeCell ref="I11:I12"/>
    <mergeCell ref="J11:J12"/>
    <mergeCell ref="B32:B33"/>
    <mergeCell ref="A39:F39"/>
    <mergeCell ref="A40:F40"/>
    <mergeCell ref="G39:L39"/>
    <mergeCell ref="G40:L40"/>
    <mergeCell ref="A3:L3"/>
    <mergeCell ref="A4:L4"/>
    <mergeCell ref="A5:L5"/>
    <mergeCell ref="A7:L7"/>
    <mergeCell ref="A9:A12"/>
    <mergeCell ref="B9:B12"/>
    <mergeCell ref="C9:C12"/>
    <mergeCell ref="D9:D12"/>
    <mergeCell ref="E9:H9"/>
    <mergeCell ref="I9:J10"/>
    <mergeCell ref="K9:K12"/>
    <mergeCell ref="L9:L12"/>
    <mergeCell ref="C38:I38"/>
    <mergeCell ref="J38:L38"/>
    <mergeCell ref="H32:H33"/>
    <mergeCell ref="I32:I33"/>
    <mergeCell ref="J32:J33"/>
    <mergeCell ref="K32:K33"/>
    <mergeCell ref="L32:L33"/>
    <mergeCell ref="C32:C33"/>
    <mergeCell ref="D32:D33"/>
    <mergeCell ref="E32:E33"/>
    <mergeCell ref="F32:F33"/>
    <mergeCell ref="G32:G33"/>
  </mergeCells>
  <pageMargins left="0.25196850393700787" right="0.25196850393700787" top="0.75196850393700787" bottom="0.75196850393700787" header="0.29921259842519687" footer="0.29921259842519687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 filterMode="1">
    <pageSetUpPr fitToPage="1"/>
  </sheetPr>
  <dimension ref="A1:S44"/>
  <sheetViews>
    <sheetView showGridLines="0" zoomScale="70" zoomScaleNormal="70" workbookViewId="0">
      <selection activeCell="P46" sqref="P46"/>
    </sheetView>
  </sheetViews>
  <sheetFormatPr defaultColWidth="9.109375" defaultRowHeight="10.199999999999999" x14ac:dyDescent="0.2"/>
  <cols>
    <col min="1" max="1" width="45.6640625" style="16" customWidth="1"/>
    <col min="2" max="14" width="12.6640625" style="16" customWidth="1"/>
    <col min="15" max="16" width="13.33203125" style="16" customWidth="1"/>
    <col min="17" max="18" width="9.109375" style="16"/>
    <col min="19" max="19" width="0" style="16" hidden="1" customWidth="1"/>
    <col min="20" max="16384" width="9.109375" style="16"/>
  </cols>
  <sheetData>
    <row r="1" spans="1:19" x14ac:dyDescent="0.2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S1" s="16">
        <v>1</v>
      </c>
    </row>
    <row r="2" spans="1:19" x14ac:dyDescent="0.2">
      <c r="A2" s="477" t="s">
        <v>284</v>
      </c>
      <c r="B2" s="477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S2" s="16">
        <v>1</v>
      </c>
    </row>
    <row r="3" spans="1:19" x14ac:dyDescent="0.2">
      <c r="A3" s="483" t="s">
        <v>170</v>
      </c>
      <c r="B3" s="483"/>
      <c r="C3" s="483"/>
      <c r="D3" s="483"/>
      <c r="E3" s="483"/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S3" s="16">
        <v>1</v>
      </c>
    </row>
    <row r="4" spans="1:19" x14ac:dyDescent="0.2">
      <c r="A4" s="483" t="s">
        <v>285</v>
      </c>
      <c r="B4" s="483"/>
      <c r="C4" s="483"/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  <c r="O4" s="483"/>
      <c r="P4" s="483"/>
      <c r="S4" s="16">
        <v>1</v>
      </c>
    </row>
    <row r="5" spans="1:19" x14ac:dyDescent="0.2">
      <c r="A5" s="489" t="str">
        <f>+Съдържание!C7</f>
        <v>" КАМИБО " ЕООД</v>
      </c>
      <c r="B5" s="489"/>
      <c r="C5" s="489"/>
      <c r="D5" s="489"/>
      <c r="E5" s="489"/>
      <c r="F5" s="489"/>
      <c r="G5" s="489"/>
      <c r="H5" s="489"/>
      <c r="I5" s="489"/>
      <c r="J5" s="489"/>
      <c r="K5" s="489"/>
      <c r="L5" s="489"/>
      <c r="M5" s="489"/>
      <c r="N5" s="489"/>
      <c r="O5" s="489"/>
      <c r="P5" s="489"/>
      <c r="S5" s="16">
        <v>1</v>
      </c>
    </row>
    <row r="6" spans="1:19" x14ac:dyDescent="0.2">
      <c r="A6" s="490" t="str">
        <f>+Съдържание!C8</f>
        <v>ЕИК/ПИК: 131157890</v>
      </c>
      <c r="B6" s="490"/>
      <c r="C6" s="490"/>
      <c r="D6" s="490"/>
      <c r="E6" s="490"/>
      <c r="F6" s="490"/>
      <c r="G6" s="491" t="str">
        <f>+Съдържание!C9</f>
        <v>гр. София 1220, ж.к. Надежда бл. 155, вх. В, ап. 71</v>
      </c>
      <c r="H6" s="491"/>
      <c r="I6" s="491"/>
      <c r="J6" s="491"/>
      <c r="K6" s="491"/>
      <c r="L6" s="491"/>
      <c r="M6" s="491"/>
      <c r="N6" s="491"/>
      <c r="O6" s="491"/>
      <c r="P6" s="491"/>
      <c r="S6" s="16">
        <v>1</v>
      </c>
    </row>
    <row r="7" spans="1:19" x14ac:dyDescent="0.2">
      <c r="A7" s="483" t="str">
        <f>+СБ!A6</f>
        <v>към 31.12.2020 година</v>
      </c>
      <c r="B7" s="483"/>
      <c r="C7" s="483"/>
      <c r="D7" s="483"/>
      <c r="E7" s="483"/>
      <c r="F7" s="483"/>
      <c r="G7" s="483"/>
      <c r="H7" s="483"/>
      <c r="I7" s="483"/>
      <c r="J7" s="483"/>
      <c r="K7" s="483"/>
      <c r="L7" s="483"/>
      <c r="M7" s="483"/>
      <c r="N7" s="483"/>
      <c r="O7" s="483"/>
      <c r="P7" s="483"/>
      <c r="S7" s="16">
        <v>1</v>
      </c>
    </row>
    <row r="8" spans="1:19" x14ac:dyDescent="0.2">
      <c r="A8" s="483"/>
      <c r="B8" s="483"/>
      <c r="C8" s="483"/>
      <c r="D8" s="483"/>
      <c r="E8" s="483"/>
      <c r="F8" s="483"/>
      <c r="G8" s="483"/>
      <c r="H8" s="483"/>
      <c r="I8" s="483"/>
      <c r="J8" s="483"/>
      <c r="K8" s="483"/>
      <c r="L8" s="483"/>
      <c r="M8" s="483"/>
      <c r="N8" s="483"/>
      <c r="O8" s="483"/>
      <c r="P8" s="483"/>
      <c r="S8" s="16">
        <v>1</v>
      </c>
    </row>
    <row r="9" spans="1:19" ht="10.8" thickBot="1" x14ac:dyDescent="0.25">
      <c r="P9" s="17" t="s">
        <v>101</v>
      </c>
      <c r="S9" s="16">
        <v>1</v>
      </c>
    </row>
    <row r="10" spans="1:19" ht="10.8" thickTop="1" x14ac:dyDescent="0.2">
      <c r="A10" s="18" t="s">
        <v>136</v>
      </c>
      <c r="B10" s="484" t="s">
        <v>171</v>
      </c>
      <c r="C10" s="484"/>
      <c r="D10" s="484"/>
      <c r="E10" s="484"/>
      <c r="F10" s="485" t="s">
        <v>172</v>
      </c>
      <c r="G10" s="485"/>
      <c r="H10" s="19" t="s">
        <v>173</v>
      </c>
      <c r="I10" s="484" t="s">
        <v>174</v>
      </c>
      <c r="J10" s="484"/>
      <c r="K10" s="484"/>
      <c r="L10" s="484"/>
      <c r="M10" s="484" t="s">
        <v>172</v>
      </c>
      <c r="N10" s="484"/>
      <c r="O10" s="484" t="s">
        <v>175</v>
      </c>
      <c r="P10" s="487" t="s">
        <v>176</v>
      </c>
      <c r="S10" s="16">
        <v>1</v>
      </c>
    </row>
    <row r="11" spans="1:19" ht="21" thickBot="1" x14ac:dyDescent="0.25">
      <c r="A11" s="20"/>
      <c r="B11" s="21" t="s">
        <v>177</v>
      </c>
      <c r="C11" s="21" t="s">
        <v>178</v>
      </c>
      <c r="D11" s="21" t="s">
        <v>179</v>
      </c>
      <c r="E11" s="21" t="s">
        <v>180</v>
      </c>
      <c r="F11" s="21" t="s">
        <v>181</v>
      </c>
      <c r="G11" s="21" t="s">
        <v>182</v>
      </c>
      <c r="H11" s="21" t="s">
        <v>183</v>
      </c>
      <c r="I11" s="21" t="s">
        <v>177</v>
      </c>
      <c r="J11" s="21" t="s">
        <v>184</v>
      </c>
      <c r="K11" s="21" t="s">
        <v>185</v>
      </c>
      <c r="L11" s="21" t="s">
        <v>186</v>
      </c>
      <c r="M11" s="21" t="s">
        <v>181</v>
      </c>
      <c r="N11" s="21" t="s">
        <v>182</v>
      </c>
      <c r="O11" s="486"/>
      <c r="P11" s="488"/>
      <c r="S11" s="16">
        <v>1</v>
      </c>
    </row>
    <row r="12" spans="1:19" ht="11.4" thickTop="1" thickBot="1" x14ac:dyDescent="0.25">
      <c r="A12" s="22" t="s">
        <v>6</v>
      </c>
      <c r="B12" s="23">
        <v>1</v>
      </c>
      <c r="C12" s="23">
        <v>2</v>
      </c>
      <c r="D12" s="23">
        <v>3</v>
      </c>
      <c r="E12" s="24">
        <v>4</v>
      </c>
      <c r="F12" s="23">
        <v>5</v>
      </c>
      <c r="G12" s="23">
        <v>6</v>
      </c>
      <c r="H12" s="24">
        <v>7</v>
      </c>
      <c r="I12" s="23">
        <v>8</v>
      </c>
      <c r="J12" s="23">
        <v>9</v>
      </c>
      <c r="K12" s="23">
        <v>10</v>
      </c>
      <c r="L12" s="24">
        <v>11</v>
      </c>
      <c r="M12" s="23">
        <v>12</v>
      </c>
      <c r="N12" s="23">
        <v>13</v>
      </c>
      <c r="O12" s="24">
        <v>14</v>
      </c>
      <c r="P12" s="25">
        <v>15</v>
      </c>
      <c r="S12" s="16">
        <v>1</v>
      </c>
    </row>
    <row r="13" spans="1:19" ht="12.6" thickTop="1" thickBot="1" x14ac:dyDescent="0.25">
      <c r="A13" s="142" t="s">
        <v>187</v>
      </c>
      <c r="B13" s="143"/>
      <c r="C13" s="143"/>
      <c r="D13" s="143"/>
      <c r="E13" s="245"/>
      <c r="F13" s="143"/>
      <c r="G13" s="143"/>
      <c r="H13" s="245"/>
      <c r="I13" s="143"/>
      <c r="J13" s="143"/>
      <c r="K13" s="143"/>
      <c r="L13" s="245"/>
      <c r="M13" s="143"/>
      <c r="N13" s="143"/>
      <c r="O13" s="245"/>
      <c r="P13" s="252"/>
      <c r="S13" s="16">
        <v>1</v>
      </c>
    </row>
    <row r="14" spans="1:19" ht="12" hidden="1" thickBot="1" x14ac:dyDescent="0.25">
      <c r="A14" s="144" t="s">
        <v>15</v>
      </c>
      <c r="B14" s="145"/>
      <c r="C14" s="145"/>
      <c r="D14" s="145"/>
      <c r="E14" s="246">
        <f>B14+C14-D14</f>
        <v>0</v>
      </c>
      <c r="F14" s="145"/>
      <c r="G14" s="145"/>
      <c r="H14" s="246">
        <f t="shared" ref="H14:H17" si="0">E14+F14-G14</f>
        <v>0</v>
      </c>
      <c r="I14" s="145"/>
      <c r="J14" s="145"/>
      <c r="K14" s="145"/>
      <c r="L14" s="246">
        <f t="shared" ref="L14:L17" si="1">I14+J14-K14</f>
        <v>0</v>
      </c>
      <c r="M14" s="145"/>
      <c r="N14" s="145"/>
      <c r="O14" s="246">
        <f t="shared" ref="O14:O17" si="2">L14+M14-N14</f>
        <v>0</v>
      </c>
      <c r="P14" s="253">
        <f>H14-O14</f>
        <v>0</v>
      </c>
      <c r="S14" s="16" t="b">
        <f>OR(E14&lt;&gt;0,H14&lt;&gt;0,L14&lt;&gt;0,O14&lt;&gt;0,P14&lt;&gt;0)</f>
        <v>0</v>
      </c>
    </row>
    <row r="15" spans="1:19" ht="23.4" hidden="1" thickBot="1" x14ac:dyDescent="0.25">
      <c r="A15" s="146" t="s">
        <v>17</v>
      </c>
      <c r="B15" s="145"/>
      <c r="C15" s="145"/>
      <c r="D15" s="145"/>
      <c r="E15" s="246">
        <f t="shared" ref="E15:E25" si="3">B15+C15-D15</f>
        <v>0</v>
      </c>
      <c r="F15" s="145"/>
      <c r="G15" s="145"/>
      <c r="H15" s="246">
        <f t="shared" si="0"/>
        <v>0</v>
      </c>
      <c r="I15" s="145"/>
      <c r="J15" s="145"/>
      <c r="K15" s="145"/>
      <c r="L15" s="246">
        <f t="shared" si="1"/>
        <v>0</v>
      </c>
      <c r="M15" s="145"/>
      <c r="N15" s="145"/>
      <c r="O15" s="246">
        <f t="shared" si="2"/>
        <v>0</v>
      </c>
      <c r="P15" s="253">
        <f t="shared" ref="P15:P17" si="4">H15-O15</f>
        <v>0</v>
      </c>
      <c r="S15" s="16" t="b">
        <f t="shared" ref="S15:S17" si="5">OR(E15&lt;&gt;0,H15&lt;&gt;0,L15&lt;&gt;0,O15&lt;&gt;0,P15&lt;&gt;0)</f>
        <v>0</v>
      </c>
    </row>
    <row r="16" spans="1:19" ht="12" hidden="1" thickBot="1" x14ac:dyDescent="0.25">
      <c r="A16" s="144" t="s">
        <v>19</v>
      </c>
      <c r="B16" s="145"/>
      <c r="C16" s="145"/>
      <c r="D16" s="145"/>
      <c r="E16" s="246">
        <f t="shared" si="3"/>
        <v>0</v>
      </c>
      <c r="F16" s="145"/>
      <c r="G16" s="145"/>
      <c r="H16" s="246">
        <f t="shared" si="0"/>
        <v>0</v>
      </c>
      <c r="I16" s="145"/>
      <c r="J16" s="145"/>
      <c r="K16" s="145"/>
      <c r="L16" s="246">
        <f t="shared" si="1"/>
        <v>0</v>
      </c>
      <c r="M16" s="145"/>
      <c r="N16" s="145"/>
      <c r="O16" s="246">
        <f t="shared" si="2"/>
        <v>0</v>
      </c>
      <c r="P16" s="253">
        <f t="shared" si="4"/>
        <v>0</v>
      </c>
      <c r="S16" s="16" t="b">
        <f t="shared" si="5"/>
        <v>0</v>
      </c>
    </row>
    <row r="17" spans="1:19" ht="23.4" hidden="1" thickBot="1" x14ac:dyDescent="0.25">
      <c r="A17" s="146" t="s">
        <v>21</v>
      </c>
      <c r="B17" s="147"/>
      <c r="C17" s="147"/>
      <c r="D17" s="147"/>
      <c r="E17" s="247">
        <f t="shared" si="3"/>
        <v>0</v>
      </c>
      <c r="F17" s="147"/>
      <c r="G17" s="147"/>
      <c r="H17" s="246">
        <f t="shared" si="0"/>
        <v>0</v>
      </c>
      <c r="I17" s="147"/>
      <c r="J17" s="147"/>
      <c r="K17" s="147"/>
      <c r="L17" s="246">
        <f t="shared" si="1"/>
        <v>0</v>
      </c>
      <c r="M17" s="147"/>
      <c r="N17" s="147"/>
      <c r="O17" s="246">
        <f t="shared" si="2"/>
        <v>0</v>
      </c>
      <c r="P17" s="253">
        <f t="shared" si="4"/>
        <v>0</v>
      </c>
      <c r="S17" s="16" t="b">
        <f t="shared" si="5"/>
        <v>0</v>
      </c>
    </row>
    <row r="18" spans="1:19" ht="12.6" thickTop="1" thickBot="1" x14ac:dyDescent="0.25">
      <c r="A18" s="148" t="s">
        <v>188</v>
      </c>
      <c r="B18" s="249">
        <f>SUM(B14:B17)</f>
        <v>0</v>
      </c>
      <c r="C18" s="249">
        <f t="shared" ref="C18:D18" si="6">SUM(C14:C17)</f>
        <v>0</v>
      </c>
      <c r="D18" s="249">
        <f t="shared" si="6"/>
        <v>0</v>
      </c>
      <c r="E18" s="248">
        <f>SUM(E14:E17)</f>
        <v>0</v>
      </c>
      <c r="F18" s="249">
        <f t="shared" ref="F18:G18" si="7">SUM(F14:F17)</f>
        <v>0</v>
      </c>
      <c r="G18" s="249">
        <f t="shared" si="7"/>
        <v>0</v>
      </c>
      <c r="H18" s="248">
        <f>SUM(H14:H17)</f>
        <v>0</v>
      </c>
      <c r="I18" s="249">
        <f t="shared" ref="I18:K18" si="8">SUM(I14:I17)</f>
        <v>0</v>
      </c>
      <c r="J18" s="249">
        <f t="shared" si="8"/>
        <v>0</v>
      </c>
      <c r="K18" s="249">
        <f t="shared" si="8"/>
        <v>0</v>
      </c>
      <c r="L18" s="248">
        <f>SUM(L14:L17)</f>
        <v>0</v>
      </c>
      <c r="M18" s="249">
        <f t="shared" ref="M18:N18" si="9">SUM(M14:M17)</f>
        <v>0</v>
      </c>
      <c r="N18" s="249">
        <f t="shared" si="9"/>
        <v>0</v>
      </c>
      <c r="O18" s="248">
        <f>SUM(O14:O17)</f>
        <v>0</v>
      </c>
      <c r="P18" s="254">
        <f>SUM(P14:P17)</f>
        <v>0</v>
      </c>
      <c r="S18" s="16">
        <v>1</v>
      </c>
    </row>
    <row r="19" spans="1:19" ht="12" hidden="1" thickTop="1" x14ac:dyDescent="0.2">
      <c r="A19" s="149" t="s">
        <v>189</v>
      </c>
      <c r="B19" s="143"/>
      <c r="C19" s="143"/>
      <c r="D19" s="143"/>
      <c r="E19" s="245"/>
      <c r="F19" s="143"/>
      <c r="G19" s="143"/>
      <c r="H19" s="245"/>
      <c r="I19" s="143"/>
      <c r="J19" s="143"/>
      <c r="K19" s="143"/>
      <c r="L19" s="245"/>
      <c r="M19" s="143"/>
      <c r="N19" s="143"/>
      <c r="O19" s="245"/>
      <c r="P19" s="252"/>
      <c r="S19" s="16" t="b">
        <f t="shared" ref="S19:S25" si="10">OR(E19&lt;&gt;0,H19&lt;&gt;0,L19&lt;&gt;0,O19&lt;&gt;0,P19&lt;&gt;0)</f>
        <v>0</v>
      </c>
    </row>
    <row r="20" spans="1:19" ht="12" thickTop="1" x14ac:dyDescent="0.2">
      <c r="A20" s="144" t="s">
        <v>190</v>
      </c>
      <c r="B20" s="246">
        <v>37</v>
      </c>
      <c r="C20" s="246">
        <f>C21+C22</f>
        <v>0</v>
      </c>
      <c r="D20" s="246"/>
      <c r="E20" s="246">
        <f t="shared" si="3"/>
        <v>37</v>
      </c>
      <c r="F20" s="246">
        <f>F21+F22</f>
        <v>0</v>
      </c>
      <c r="G20" s="246">
        <f>G21+G22</f>
        <v>0</v>
      </c>
      <c r="H20" s="246">
        <f t="shared" ref="H20:H25" si="11">E20+F20-G20</f>
        <v>37</v>
      </c>
      <c r="I20" s="246"/>
      <c r="J20" s="246">
        <v>13</v>
      </c>
      <c r="K20" s="246"/>
      <c r="L20" s="246">
        <f t="shared" ref="L20:L25" si="12">I20+J20-K20</f>
        <v>13</v>
      </c>
      <c r="M20" s="246">
        <f>M21+M22</f>
        <v>0</v>
      </c>
      <c r="N20" s="246">
        <f>N21+N22</f>
        <v>0</v>
      </c>
      <c r="O20" s="246">
        <f t="shared" ref="O20:O25" si="13">L20+M20-N20</f>
        <v>13</v>
      </c>
      <c r="P20" s="253">
        <f t="shared" ref="P20:P25" si="14">H20-O20</f>
        <v>24</v>
      </c>
      <c r="S20" s="16" t="b">
        <f t="shared" si="10"/>
        <v>1</v>
      </c>
    </row>
    <row r="21" spans="1:19" ht="11.4" x14ac:dyDescent="0.2">
      <c r="A21" s="144" t="s">
        <v>29</v>
      </c>
      <c r="B21" s="145"/>
      <c r="C21" s="145"/>
      <c r="D21" s="145"/>
      <c r="E21" s="246">
        <f t="shared" si="3"/>
        <v>0</v>
      </c>
      <c r="F21" s="145"/>
      <c r="G21" s="145"/>
      <c r="H21" s="246">
        <f t="shared" si="11"/>
        <v>0</v>
      </c>
      <c r="I21" s="145"/>
      <c r="J21" s="145"/>
      <c r="K21" s="145"/>
      <c r="L21" s="246">
        <f t="shared" si="12"/>
        <v>0</v>
      </c>
      <c r="M21" s="145"/>
      <c r="N21" s="145"/>
      <c r="O21" s="246">
        <f t="shared" si="13"/>
        <v>0</v>
      </c>
      <c r="P21" s="253">
        <f t="shared" si="14"/>
        <v>0</v>
      </c>
      <c r="S21" s="16" t="b">
        <f t="shared" si="10"/>
        <v>0</v>
      </c>
    </row>
    <row r="22" spans="1:19" ht="11.4" x14ac:dyDescent="0.2">
      <c r="A22" s="144" t="s">
        <v>31</v>
      </c>
      <c r="B22" s="145">
        <v>37</v>
      </c>
      <c r="C22" s="145"/>
      <c r="D22" s="145"/>
      <c r="E22" s="246">
        <f t="shared" si="3"/>
        <v>37</v>
      </c>
      <c r="F22" s="145"/>
      <c r="G22" s="145"/>
      <c r="H22" s="246">
        <f t="shared" si="11"/>
        <v>37</v>
      </c>
      <c r="I22" s="145"/>
      <c r="J22" s="145">
        <v>13</v>
      </c>
      <c r="K22" s="145"/>
      <c r="L22" s="246">
        <v>13</v>
      </c>
      <c r="M22" s="145"/>
      <c r="N22" s="145"/>
      <c r="O22" s="246">
        <v>13</v>
      </c>
      <c r="P22" s="253">
        <v>24</v>
      </c>
      <c r="S22" s="16" t="b">
        <f t="shared" si="10"/>
        <v>1</v>
      </c>
    </row>
    <row r="23" spans="1:19" ht="11.4" x14ac:dyDescent="0.2">
      <c r="A23" s="144" t="s">
        <v>191</v>
      </c>
      <c r="B23" s="145"/>
      <c r="C23" s="145"/>
      <c r="D23" s="145"/>
      <c r="E23" s="246"/>
      <c r="F23" s="145"/>
      <c r="G23" s="145"/>
      <c r="H23" s="246"/>
      <c r="I23" s="145"/>
      <c r="J23" s="145"/>
      <c r="K23" s="145"/>
      <c r="L23" s="246"/>
      <c r="M23" s="145"/>
      <c r="N23" s="145"/>
      <c r="O23" s="246"/>
      <c r="P23" s="253"/>
      <c r="S23" s="16" t="b">
        <f t="shared" si="10"/>
        <v>0</v>
      </c>
    </row>
    <row r="24" spans="1:19" ht="12" thickBot="1" x14ac:dyDescent="0.25">
      <c r="A24" s="144" t="s">
        <v>33</v>
      </c>
      <c r="B24" s="145">
        <v>22</v>
      </c>
      <c r="C24" s="145"/>
      <c r="D24" s="145"/>
      <c r="E24" s="246">
        <v>22</v>
      </c>
      <c r="F24" s="145"/>
      <c r="G24" s="145"/>
      <c r="H24" s="246">
        <v>22</v>
      </c>
      <c r="I24" s="145"/>
      <c r="J24" s="145"/>
      <c r="K24" s="145"/>
      <c r="L24" s="246"/>
      <c r="M24" s="145"/>
      <c r="N24" s="145"/>
      <c r="O24" s="246"/>
      <c r="P24" s="253">
        <v>22</v>
      </c>
      <c r="S24" s="16" t="b">
        <f t="shared" si="10"/>
        <v>1</v>
      </c>
    </row>
    <row r="25" spans="1:19" ht="23.4" hidden="1" thickBot="1" x14ac:dyDescent="0.25">
      <c r="A25" s="146" t="s">
        <v>34</v>
      </c>
      <c r="B25" s="147"/>
      <c r="C25" s="147"/>
      <c r="D25" s="147"/>
      <c r="E25" s="247">
        <f t="shared" si="3"/>
        <v>0</v>
      </c>
      <c r="F25" s="147"/>
      <c r="G25" s="147"/>
      <c r="H25" s="247">
        <f t="shared" si="11"/>
        <v>0</v>
      </c>
      <c r="I25" s="147"/>
      <c r="J25" s="147"/>
      <c r="K25" s="147"/>
      <c r="L25" s="247">
        <f t="shared" si="12"/>
        <v>0</v>
      </c>
      <c r="M25" s="147"/>
      <c r="N25" s="147"/>
      <c r="O25" s="246">
        <f t="shared" si="13"/>
        <v>0</v>
      </c>
      <c r="P25" s="255">
        <f t="shared" si="14"/>
        <v>0</v>
      </c>
      <c r="S25" s="16" t="b">
        <f t="shared" si="10"/>
        <v>0</v>
      </c>
    </row>
    <row r="26" spans="1:19" ht="12.6" thickTop="1" thickBot="1" x14ac:dyDescent="0.25">
      <c r="A26" s="148" t="s">
        <v>192</v>
      </c>
      <c r="B26" s="249">
        <v>59</v>
      </c>
      <c r="C26" s="249"/>
      <c r="D26" s="249"/>
      <c r="E26" s="248">
        <v>59</v>
      </c>
      <c r="F26" s="249"/>
      <c r="G26" s="249"/>
      <c r="H26" s="248">
        <v>59</v>
      </c>
      <c r="I26" s="249"/>
      <c r="J26" s="249">
        <v>13</v>
      </c>
      <c r="K26" s="249"/>
      <c r="L26" s="248">
        <v>13</v>
      </c>
      <c r="M26" s="249"/>
      <c r="N26" s="249"/>
      <c r="O26" s="248">
        <v>13</v>
      </c>
      <c r="P26" s="254">
        <v>46</v>
      </c>
      <c r="S26" s="16">
        <v>1</v>
      </c>
    </row>
    <row r="27" spans="1:19" ht="12" hidden="1" thickTop="1" x14ac:dyDescent="0.2">
      <c r="A27" s="149" t="s">
        <v>193</v>
      </c>
      <c r="B27" s="143"/>
      <c r="C27" s="143"/>
      <c r="D27" s="143"/>
      <c r="E27" s="245"/>
      <c r="F27" s="143"/>
      <c r="G27" s="143"/>
      <c r="H27" s="245"/>
      <c r="I27" s="143"/>
      <c r="J27" s="143"/>
      <c r="K27" s="143"/>
      <c r="L27" s="245"/>
      <c r="M27" s="143"/>
      <c r="N27" s="143"/>
      <c r="O27" s="245"/>
      <c r="P27" s="252"/>
      <c r="S27" s="16" t="b">
        <f t="shared" ref="S27:S35" si="15">OR(E27&lt;&gt;0,H27&lt;&gt;0,L27&lt;&gt;0,O27&lt;&gt;0,P27&lt;&gt;0)</f>
        <v>0</v>
      </c>
    </row>
    <row r="28" spans="1:19" ht="12" hidden="1" thickTop="1" x14ac:dyDescent="0.2">
      <c r="A28" s="144" t="s">
        <v>79</v>
      </c>
      <c r="B28" s="145"/>
      <c r="C28" s="145"/>
      <c r="D28" s="145"/>
      <c r="E28" s="246">
        <f t="shared" ref="E28:E35" si="16">B28+C28-D28</f>
        <v>0</v>
      </c>
      <c r="F28" s="145"/>
      <c r="G28" s="145"/>
      <c r="H28" s="247">
        <f t="shared" ref="H28:H35" si="17">E28+F28-G28</f>
        <v>0</v>
      </c>
      <c r="I28" s="145"/>
      <c r="J28" s="145"/>
      <c r="K28" s="145"/>
      <c r="L28" s="247">
        <f t="shared" ref="L28:L35" si="18">I28+J28-K28</f>
        <v>0</v>
      </c>
      <c r="M28" s="145"/>
      <c r="N28" s="145"/>
      <c r="O28" s="246">
        <f t="shared" ref="O28:O35" si="19">L28+M28-N28</f>
        <v>0</v>
      </c>
      <c r="P28" s="253">
        <f t="shared" ref="P28:P35" si="20">H28-O28</f>
        <v>0</v>
      </c>
      <c r="S28" s="16" t="b">
        <f t="shared" si="15"/>
        <v>0</v>
      </c>
    </row>
    <row r="29" spans="1:19" ht="12" hidden="1" thickTop="1" x14ac:dyDescent="0.2">
      <c r="A29" s="144" t="s">
        <v>194</v>
      </c>
      <c r="B29" s="145"/>
      <c r="C29" s="145"/>
      <c r="D29" s="145"/>
      <c r="E29" s="246">
        <f t="shared" si="16"/>
        <v>0</v>
      </c>
      <c r="F29" s="145"/>
      <c r="G29" s="145"/>
      <c r="H29" s="247">
        <f t="shared" si="17"/>
        <v>0</v>
      </c>
      <c r="I29" s="145"/>
      <c r="J29" s="145"/>
      <c r="K29" s="145"/>
      <c r="L29" s="247">
        <f t="shared" si="18"/>
        <v>0</v>
      </c>
      <c r="M29" s="145"/>
      <c r="N29" s="145"/>
      <c r="O29" s="246">
        <f t="shared" si="19"/>
        <v>0</v>
      </c>
      <c r="P29" s="253">
        <f t="shared" si="20"/>
        <v>0</v>
      </c>
      <c r="S29" s="16" t="b">
        <f t="shared" si="15"/>
        <v>0</v>
      </c>
    </row>
    <row r="30" spans="1:19" ht="23.4" hidden="1" thickTop="1" x14ac:dyDescent="0.2">
      <c r="A30" s="146" t="s">
        <v>195</v>
      </c>
      <c r="B30" s="145"/>
      <c r="C30" s="145"/>
      <c r="D30" s="145"/>
      <c r="E30" s="246">
        <f t="shared" si="16"/>
        <v>0</v>
      </c>
      <c r="F30" s="145"/>
      <c r="G30" s="145"/>
      <c r="H30" s="247">
        <f t="shared" si="17"/>
        <v>0</v>
      </c>
      <c r="I30" s="145"/>
      <c r="J30" s="145"/>
      <c r="K30" s="145"/>
      <c r="L30" s="247">
        <f t="shared" si="18"/>
        <v>0</v>
      </c>
      <c r="M30" s="145"/>
      <c r="N30" s="145"/>
      <c r="O30" s="246">
        <f t="shared" si="19"/>
        <v>0</v>
      </c>
      <c r="P30" s="253">
        <f t="shared" si="20"/>
        <v>0</v>
      </c>
      <c r="S30" s="16" t="b">
        <f t="shared" si="15"/>
        <v>0</v>
      </c>
    </row>
    <row r="31" spans="1:19" ht="23.4" thickTop="1" x14ac:dyDescent="0.2">
      <c r="A31" s="146" t="s">
        <v>47</v>
      </c>
      <c r="B31" s="145"/>
      <c r="C31" s="145"/>
      <c r="D31" s="145"/>
      <c r="E31" s="246"/>
      <c r="F31" s="145"/>
      <c r="G31" s="145"/>
      <c r="H31" s="247"/>
      <c r="I31" s="145"/>
      <c r="J31" s="145"/>
      <c r="K31" s="145"/>
      <c r="L31" s="247"/>
      <c r="M31" s="145"/>
      <c r="N31" s="145"/>
      <c r="O31" s="246"/>
      <c r="P31" s="253"/>
      <c r="S31" s="16" t="b">
        <f t="shared" si="15"/>
        <v>0</v>
      </c>
    </row>
    <row r="32" spans="1:19" ht="11.4" x14ac:dyDescent="0.2">
      <c r="A32" s="144" t="s">
        <v>49</v>
      </c>
      <c r="B32" s="145"/>
      <c r="C32" s="145"/>
      <c r="D32" s="145"/>
      <c r="E32" s="246"/>
      <c r="F32" s="145"/>
      <c r="G32" s="145"/>
      <c r="H32" s="247"/>
      <c r="I32" s="145"/>
      <c r="J32" s="145"/>
      <c r="K32" s="145"/>
      <c r="L32" s="247"/>
      <c r="M32" s="145"/>
      <c r="N32" s="145"/>
      <c r="O32" s="246"/>
      <c r="P32" s="253"/>
      <c r="S32" s="16" t="b">
        <f t="shared" si="15"/>
        <v>0</v>
      </c>
    </row>
    <row r="33" spans="1:19" ht="12" thickBot="1" x14ac:dyDescent="0.25">
      <c r="A33" s="144" t="s">
        <v>50</v>
      </c>
      <c r="B33" s="145">
        <v>1286</v>
      </c>
      <c r="C33" s="145"/>
      <c r="D33" s="145"/>
      <c r="E33" s="246">
        <v>1286</v>
      </c>
      <c r="F33" s="145"/>
      <c r="G33" s="145"/>
      <c r="H33" s="247">
        <v>1286</v>
      </c>
      <c r="I33" s="145"/>
      <c r="J33" s="145"/>
      <c r="K33" s="145"/>
      <c r="L33" s="247"/>
      <c r="M33" s="145"/>
      <c r="N33" s="145"/>
      <c r="O33" s="246"/>
      <c r="P33" s="253">
        <v>1286</v>
      </c>
      <c r="S33" s="16" t="b">
        <f t="shared" si="15"/>
        <v>1</v>
      </c>
    </row>
    <row r="34" spans="1:19" ht="12" hidden="1" thickBot="1" x14ac:dyDescent="0.25">
      <c r="A34" s="144" t="s">
        <v>196</v>
      </c>
      <c r="B34" s="145"/>
      <c r="C34" s="145"/>
      <c r="D34" s="145"/>
      <c r="E34" s="246">
        <f t="shared" si="16"/>
        <v>0</v>
      </c>
      <c r="F34" s="145"/>
      <c r="G34" s="145"/>
      <c r="H34" s="247">
        <f t="shared" si="17"/>
        <v>0</v>
      </c>
      <c r="I34" s="145"/>
      <c r="J34" s="145"/>
      <c r="K34" s="145"/>
      <c r="L34" s="247">
        <f t="shared" si="18"/>
        <v>0</v>
      </c>
      <c r="M34" s="145"/>
      <c r="N34" s="145"/>
      <c r="O34" s="246">
        <f t="shared" si="19"/>
        <v>0</v>
      </c>
      <c r="P34" s="253">
        <f t="shared" si="20"/>
        <v>0</v>
      </c>
      <c r="S34" s="16" t="b">
        <f t="shared" si="15"/>
        <v>0</v>
      </c>
    </row>
    <row r="35" spans="1:19" ht="12" hidden="1" thickBot="1" x14ac:dyDescent="0.25">
      <c r="A35" s="144"/>
      <c r="B35" s="147"/>
      <c r="C35" s="147"/>
      <c r="D35" s="147"/>
      <c r="E35" s="247">
        <f t="shared" si="16"/>
        <v>0</v>
      </c>
      <c r="F35" s="147"/>
      <c r="G35" s="147"/>
      <c r="H35" s="247">
        <f t="shared" si="17"/>
        <v>0</v>
      </c>
      <c r="I35" s="147"/>
      <c r="J35" s="147"/>
      <c r="K35" s="147"/>
      <c r="L35" s="247">
        <f t="shared" si="18"/>
        <v>0</v>
      </c>
      <c r="M35" s="147"/>
      <c r="N35" s="147"/>
      <c r="O35" s="247">
        <f t="shared" si="19"/>
        <v>0</v>
      </c>
      <c r="P35" s="255">
        <f t="shared" si="20"/>
        <v>0</v>
      </c>
      <c r="S35" s="16" t="b">
        <f t="shared" si="15"/>
        <v>0</v>
      </c>
    </row>
    <row r="36" spans="1:19" ht="12.6" thickTop="1" thickBot="1" x14ac:dyDescent="0.25">
      <c r="A36" s="148" t="s">
        <v>197</v>
      </c>
      <c r="B36" s="249">
        <v>1286</v>
      </c>
      <c r="C36" s="249"/>
      <c r="D36" s="249"/>
      <c r="E36" s="249">
        <v>1286</v>
      </c>
      <c r="F36" s="249"/>
      <c r="G36" s="249"/>
      <c r="H36" s="249">
        <v>1286</v>
      </c>
      <c r="I36" s="249"/>
      <c r="J36" s="249"/>
      <c r="K36" s="249"/>
      <c r="L36" s="249"/>
      <c r="M36" s="249"/>
      <c r="N36" s="249"/>
      <c r="O36" s="249"/>
      <c r="P36" s="256">
        <v>1286</v>
      </c>
      <c r="S36" s="16">
        <v>1</v>
      </c>
    </row>
    <row r="37" spans="1:19" ht="12.6" hidden="1" thickTop="1" thickBot="1" x14ac:dyDescent="0.25">
      <c r="A37" s="148"/>
      <c r="B37" s="150"/>
      <c r="C37" s="150"/>
      <c r="D37" s="150"/>
      <c r="E37" s="250"/>
      <c r="F37" s="150"/>
      <c r="G37" s="150"/>
      <c r="H37" s="250"/>
      <c r="I37" s="150"/>
      <c r="J37" s="150"/>
      <c r="K37" s="150"/>
      <c r="L37" s="250"/>
      <c r="M37" s="150"/>
      <c r="N37" s="150"/>
      <c r="O37" s="250"/>
      <c r="P37" s="257"/>
      <c r="S37" s="16" t="b">
        <f t="shared" ref="S37:S39" si="21">OR(E37&lt;&gt;0,H37&lt;&gt;0,L37&lt;&gt;0,O37&lt;&gt;0,P37&lt;&gt;0)</f>
        <v>0</v>
      </c>
    </row>
    <row r="38" spans="1:19" ht="12.6" hidden="1" thickTop="1" thickBot="1" x14ac:dyDescent="0.25">
      <c r="A38" s="148" t="s">
        <v>198</v>
      </c>
      <c r="B38" s="145"/>
      <c r="C38" s="145"/>
      <c r="D38" s="145"/>
      <c r="E38" s="246">
        <f t="shared" ref="E38" si="22">B38+C38-D38</f>
        <v>0</v>
      </c>
      <c r="F38" s="145"/>
      <c r="G38" s="145"/>
      <c r="H38" s="247">
        <f t="shared" ref="H38" si="23">E38+F38-G38</f>
        <v>0</v>
      </c>
      <c r="I38" s="145"/>
      <c r="J38" s="145"/>
      <c r="K38" s="145"/>
      <c r="L38" s="247">
        <f t="shared" ref="L38" si="24">I38+J38-K38</f>
        <v>0</v>
      </c>
      <c r="M38" s="145"/>
      <c r="N38" s="145"/>
      <c r="O38" s="247">
        <f t="shared" ref="O38" si="25">L38+M38-N38</f>
        <v>0</v>
      </c>
      <c r="P38" s="255">
        <f t="shared" ref="P38" si="26">H38-O38</f>
        <v>0</v>
      </c>
      <c r="S38" s="16" t="b">
        <f t="shared" si="21"/>
        <v>0</v>
      </c>
    </row>
    <row r="39" spans="1:19" ht="12.6" hidden="1" thickTop="1" thickBot="1" x14ac:dyDescent="0.25">
      <c r="A39" s="144"/>
      <c r="B39" s="151"/>
      <c r="C39" s="151"/>
      <c r="D39" s="151"/>
      <c r="E39" s="251"/>
      <c r="F39" s="151"/>
      <c r="G39" s="151"/>
      <c r="H39" s="251"/>
      <c r="I39" s="151"/>
      <c r="J39" s="151"/>
      <c r="K39" s="151"/>
      <c r="L39" s="251"/>
      <c r="M39" s="151"/>
      <c r="N39" s="151"/>
      <c r="O39" s="251"/>
      <c r="P39" s="258"/>
      <c r="S39" s="16" t="b">
        <f t="shared" si="21"/>
        <v>0</v>
      </c>
    </row>
    <row r="40" spans="1:19" ht="12.6" thickTop="1" thickBot="1" x14ac:dyDescent="0.25">
      <c r="A40" s="152" t="s">
        <v>199</v>
      </c>
      <c r="B40" s="248">
        <v>1345</v>
      </c>
      <c r="C40" s="248"/>
      <c r="D40" s="248"/>
      <c r="E40" s="248">
        <v>1345</v>
      </c>
      <c r="F40" s="248"/>
      <c r="G40" s="248"/>
      <c r="H40" s="248">
        <v>1345</v>
      </c>
      <c r="I40" s="248"/>
      <c r="J40" s="248">
        <v>13</v>
      </c>
      <c r="K40" s="248"/>
      <c r="L40" s="248">
        <v>13</v>
      </c>
      <c r="M40" s="248"/>
      <c r="N40" s="248"/>
      <c r="O40" s="248">
        <v>13</v>
      </c>
      <c r="P40" s="254">
        <v>1332</v>
      </c>
      <c r="S40" s="16">
        <v>1</v>
      </c>
    </row>
    <row r="41" spans="1:19" ht="13.8" thickTop="1" x14ac:dyDescent="0.25">
      <c r="A41" s="481"/>
      <c r="B41" s="481"/>
      <c r="C41" s="481"/>
      <c r="D41" s="481"/>
      <c r="E41" s="481"/>
      <c r="F41" s="481"/>
      <c r="G41" s="481"/>
      <c r="H41" s="481"/>
      <c r="I41" s="481"/>
      <c r="J41" s="481"/>
      <c r="K41" s="493"/>
      <c r="L41" s="493"/>
      <c r="M41" s="493"/>
      <c r="N41" s="493"/>
      <c r="O41" s="493"/>
      <c r="P41" s="493"/>
      <c r="S41" s="16">
        <v>1</v>
      </c>
    </row>
    <row r="42" spans="1:19" x14ac:dyDescent="0.2">
      <c r="S42" s="16">
        <v>1</v>
      </c>
    </row>
    <row r="43" spans="1:19" x14ac:dyDescent="0.2">
      <c r="A43" s="16" t="str">
        <f>+ОСК!A36</f>
        <v>Дата на съставяне:</v>
      </c>
      <c r="E43" s="492" t="str">
        <f>+ОСК!A39</f>
        <v>Съставител:</v>
      </c>
      <c r="F43" s="492"/>
      <c r="G43" s="492"/>
      <c r="H43" s="492"/>
      <c r="I43" s="492"/>
      <c r="L43" s="492" t="str">
        <f>+ОСК!G39</f>
        <v>Ръководител:</v>
      </c>
      <c r="M43" s="492"/>
      <c r="N43" s="492"/>
      <c r="O43" s="492"/>
      <c r="P43" s="492"/>
      <c r="S43" s="16">
        <v>1</v>
      </c>
    </row>
    <row r="44" spans="1:19" x14ac:dyDescent="0.2">
      <c r="A44" s="92">
        <f>+Съдържание!C6</f>
        <v>44312</v>
      </c>
      <c r="E44" s="492" t="str">
        <f>+Съдържание!C11</f>
        <v>ЖАНА МИЛЧОВА ГЪЛЪБОВА</v>
      </c>
      <c r="F44" s="492"/>
      <c r="G44" s="492"/>
      <c r="H44" s="492"/>
      <c r="I44" s="492"/>
      <c r="L44" s="492" t="str">
        <f>+Съдържание!C10</f>
        <v>ДИМИТЪР ЙОРДАНОВ ИВАНОВ</v>
      </c>
      <c r="M44" s="492"/>
      <c r="N44" s="492"/>
      <c r="O44" s="492"/>
      <c r="P44" s="492"/>
      <c r="S44" s="16">
        <v>1</v>
      </c>
    </row>
  </sheetData>
  <autoFilter ref="S1:S44" xr:uid="{00000000-0009-0000-0000-000009000000}">
    <filterColumn colId="0">
      <filters>
        <filter val="1"/>
        <filter val="TRUE"/>
      </filters>
    </filterColumn>
  </autoFilter>
  <mergeCells count="21">
    <mergeCell ref="L43:P43"/>
    <mergeCell ref="L44:P44"/>
    <mergeCell ref="E43:I43"/>
    <mergeCell ref="E44:I44"/>
    <mergeCell ref="A41:J41"/>
    <mergeCell ref="K41:P41"/>
    <mergeCell ref="A1:P1"/>
    <mergeCell ref="A3:P3"/>
    <mergeCell ref="A4:P4"/>
    <mergeCell ref="A8:P8"/>
    <mergeCell ref="B10:E10"/>
    <mergeCell ref="F10:G10"/>
    <mergeCell ref="I10:L10"/>
    <mergeCell ref="M10:N10"/>
    <mergeCell ref="O10:O11"/>
    <mergeCell ref="P10:P11"/>
    <mergeCell ref="A5:P5"/>
    <mergeCell ref="A7:P7"/>
    <mergeCell ref="A6:F6"/>
    <mergeCell ref="G6:P6"/>
    <mergeCell ref="A2:P2"/>
  </mergeCells>
  <pageMargins left="0.25" right="0.25" top="0.75" bottom="0.75" header="0.3" footer="0.3"/>
  <pageSetup scale="5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pageSetUpPr fitToPage="1"/>
  </sheetPr>
  <dimension ref="A1:G52"/>
  <sheetViews>
    <sheetView topLeftCell="A37" workbookViewId="0">
      <selection activeCell="E46" sqref="E46:G46"/>
    </sheetView>
  </sheetViews>
  <sheetFormatPr defaultColWidth="9.109375" defaultRowHeight="15" x14ac:dyDescent="0.35"/>
  <cols>
    <col min="1" max="1" width="50.6640625" style="127" customWidth="1"/>
    <col min="2" max="3" width="12.6640625" style="127" customWidth="1"/>
    <col min="4" max="4" width="2.6640625" style="26" customWidth="1"/>
    <col min="5" max="5" width="50.6640625" style="127" customWidth="1"/>
    <col min="6" max="7" width="12.6640625" style="127" customWidth="1"/>
    <col min="8" max="16384" width="9.109375" style="26"/>
  </cols>
  <sheetData>
    <row r="1" spans="1:7" x14ac:dyDescent="0.35">
      <c r="A1" s="402"/>
      <c r="B1" s="402"/>
      <c r="C1" s="402"/>
      <c r="D1" s="402"/>
      <c r="E1" s="402"/>
      <c r="F1" s="402"/>
      <c r="G1" s="402"/>
    </row>
    <row r="2" spans="1:7" x14ac:dyDescent="0.35">
      <c r="A2" s="438" t="s">
        <v>265</v>
      </c>
      <c r="B2" s="438"/>
      <c r="C2" s="438"/>
      <c r="D2" s="438"/>
      <c r="E2" s="438"/>
      <c r="F2" s="438"/>
      <c r="G2" s="438"/>
    </row>
    <row r="3" spans="1:7" ht="18.600000000000001" x14ac:dyDescent="0.4">
      <c r="A3" s="403" t="s">
        <v>201</v>
      </c>
      <c r="B3" s="403"/>
      <c r="C3" s="403"/>
      <c r="D3" s="403"/>
      <c r="E3" s="403"/>
      <c r="F3" s="403"/>
      <c r="G3" s="403"/>
    </row>
    <row r="4" spans="1:7" ht="16.2" x14ac:dyDescent="0.35">
      <c r="A4" s="405" t="str">
        <f>+Съдържание!C7</f>
        <v>" КАМИБО " ЕООД</v>
      </c>
      <c r="B4" s="405"/>
      <c r="C4" s="405"/>
      <c r="D4" s="405"/>
      <c r="E4" s="405"/>
      <c r="F4" s="405"/>
      <c r="G4" s="405"/>
    </row>
    <row r="5" spans="1:7" x14ac:dyDescent="0.35">
      <c r="A5" s="415" t="str">
        <f>+Съдържание!C8</f>
        <v>ЕИК/ПИК: 131157890</v>
      </c>
      <c r="B5" s="415"/>
      <c r="C5" s="415"/>
      <c r="D5" s="44"/>
      <c r="E5" s="494" t="str">
        <f>+Съдържание!C9</f>
        <v>гр. София 1220, ж.к. Надежда бл. 155, вх. В, ап. 71</v>
      </c>
      <c r="F5" s="494"/>
      <c r="G5" s="494"/>
    </row>
    <row r="6" spans="1:7" ht="16.2" x14ac:dyDescent="0.35">
      <c r="A6" s="405">
        <f>+Съдържание!C12</f>
        <v>44196</v>
      </c>
      <c r="B6" s="405"/>
      <c r="C6" s="405"/>
      <c r="D6" s="405"/>
      <c r="E6" s="405"/>
      <c r="F6" s="405"/>
      <c r="G6" s="405"/>
    </row>
    <row r="7" spans="1:7" ht="15.6" thickBot="1" x14ac:dyDescent="0.4">
      <c r="A7" s="414"/>
      <c r="B7" s="414"/>
      <c r="C7" s="414"/>
      <c r="D7" s="414"/>
      <c r="E7" s="414"/>
      <c r="F7" s="414"/>
      <c r="G7" s="414"/>
    </row>
    <row r="8" spans="1:7" ht="16.2" thickTop="1" thickBot="1" x14ac:dyDescent="0.4">
      <c r="A8" s="398" t="s">
        <v>202</v>
      </c>
      <c r="B8" s="441" t="s">
        <v>203</v>
      </c>
      <c r="C8" s="441"/>
      <c r="E8" s="398" t="s">
        <v>204</v>
      </c>
      <c r="F8" s="439" t="s">
        <v>203</v>
      </c>
      <c r="G8" s="440"/>
    </row>
    <row r="9" spans="1:7" ht="16.2" thickTop="1" thickBot="1" x14ac:dyDescent="0.4">
      <c r="A9" s="398"/>
      <c r="B9" s="401" t="s">
        <v>4</v>
      </c>
      <c r="C9" s="401" t="s">
        <v>5</v>
      </c>
      <c r="E9" s="398"/>
      <c r="F9" s="401" t="s">
        <v>4</v>
      </c>
      <c r="G9" s="401" t="s">
        <v>5</v>
      </c>
    </row>
    <row r="10" spans="1:7" ht="16.2" thickTop="1" thickBot="1" x14ac:dyDescent="0.4">
      <c r="A10" s="398"/>
      <c r="B10" s="401"/>
      <c r="C10" s="401"/>
      <c r="E10" s="398"/>
      <c r="F10" s="401"/>
      <c r="G10" s="401"/>
    </row>
    <row r="11" spans="1:7" ht="16.2" thickTop="1" thickBot="1" x14ac:dyDescent="0.4">
      <c r="A11" s="125">
        <v>1</v>
      </c>
      <c r="B11" s="125">
        <v>2</v>
      </c>
      <c r="C11" s="125">
        <v>3</v>
      </c>
      <c r="E11" s="125">
        <v>1</v>
      </c>
      <c r="F11" s="125">
        <v>2</v>
      </c>
      <c r="G11" s="125">
        <v>3</v>
      </c>
    </row>
    <row r="12" spans="1:7" ht="15.6" thickTop="1" x14ac:dyDescent="0.35">
      <c r="A12" s="135" t="s">
        <v>205</v>
      </c>
      <c r="B12" s="269"/>
      <c r="C12" s="270"/>
      <c r="D12" s="133"/>
      <c r="E12" s="135" t="s">
        <v>206</v>
      </c>
      <c r="F12" s="269"/>
      <c r="G12" s="270"/>
    </row>
    <row r="13" spans="1:7" ht="30" x14ac:dyDescent="0.35">
      <c r="A13" s="129" t="s">
        <v>207</v>
      </c>
      <c r="B13" s="271"/>
      <c r="C13" s="272"/>
      <c r="D13" s="133"/>
      <c r="E13" s="130" t="s">
        <v>209</v>
      </c>
      <c r="F13" s="271">
        <f>SUM(F14:F16)</f>
        <v>0</v>
      </c>
      <c r="G13" s="272">
        <f>SUM(G14:G16)</f>
        <v>0</v>
      </c>
    </row>
    <row r="14" spans="1:7" ht="30" x14ac:dyDescent="0.35">
      <c r="A14" s="130" t="s">
        <v>208</v>
      </c>
      <c r="B14" s="271">
        <f>SUM(B15:B16)</f>
        <v>0</v>
      </c>
      <c r="C14" s="272">
        <f>SUM(C15:C16)</f>
        <v>0</v>
      </c>
      <c r="D14" s="133"/>
      <c r="E14" s="130" t="s">
        <v>211</v>
      </c>
      <c r="F14" s="271"/>
      <c r="G14" s="272"/>
    </row>
    <row r="15" spans="1:7" x14ac:dyDescent="0.35">
      <c r="A15" s="134" t="s">
        <v>210</v>
      </c>
      <c r="B15" s="273"/>
      <c r="C15" s="274"/>
      <c r="D15" s="133"/>
      <c r="E15" s="134" t="s">
        <v>213</v>
      </c>
      <c r="F15" s="273"/>
      <c r="G15" s="274"/>
    </row>
    <row r="16" spans="1:7" x14ac:dyDescent="0.35">
      <c r="A16" s="134" t="s">
        <v>212</v>
      </c>
      <c r="B16" s="273"/>
      <c r="C16" s="274"/>
      <c r="D16" s="133"/>
      <c r="E16" s="134" t="s">
        <v>214</v>
      </c>
      <c r="F16" s="273"/>
      <c r="G16" s="274"/>
    </row>
    <row r="17" spans="1:7" ht="30" x14ac:dyDescent="0.35">
      <c r="A17" s="130" t="s">
        <v>215</v>
      </c>
      <c r="B17" s="271">
        <f>SUM(B18:B19)</f>
        <v>0</v>
      </c>
      <c r="C17" s="272">
        <f>SUM(C18:C19)</f>
        <v>0</v>
      </c>
      <c r="D17" s="133"/>
      <c r="E17" s="134" t="s">
        <v>216</v>
      </c>
      <c r="F17" s="271"/>
      <c r="G17" s="272"/>
    </row>
    <row r="18" spans="1:7" ht="30" x14ac:dyDescent="0.35">
      <c r="A18" s="130" t="s">
        <v>217</v>
      </c>
      <c r="B18" s="271"/>
      <c r="C18" s="272"/>
      <c r="D18" s="133"/>
      <c r="E18" s="129" t="s">
        <v>221</v>
      </c>
      <c r="F18" s="271"/>
      <c r="G18" s="272"/>
    </row>
    <row r="19" spans="1:7" x14ac:dyDescent="0.35">
      <c r="A19" s="134" t="s">
        <v>218</v>
      </c>
      <c r="B19" s="273"/>
      <c r="C19" s="274"/>
      <c r="D19" s="133"/>
      <c r="E19" s="130" t="s">
        <v>227</v>
      </c>
      <c r="F19" s="271">
        <f>SUM(F20)</f>
        <v>0</v>
      </c>
      <c r="G19" s="272">
        <f>SUM(G20)</f>
        <v>0</v>
      </c>
    </row>
    <row r="20" spans="1:7" ht="15.6" thickBot="1" x14ac:dyDescent="0.4">
      <c r="A20" s="134" t="s">
        <v>219</v>
      </c>
      <c r="B20" s="273"/>
      <c r="C20" s="274"/>
      <c r="D20" s="133"/>
      <c r="E20" s="136" t="s">
        <v>229</v>
      </c>
      <c r="F20" s="275"/>
      <c r="G20" s="276"/>
    </row>
    <row r="21" spans="1:7" ht="31.2" thickTop="1" thickBot="1" x14ac:dyDescent="0.4">
      <c r="A21" s="130" t="s">
        <v>220</v>
      </c>
      <c r="B21" s="271">
        <f>SUM(B22,B25)</f>
        <v>0</v>
      </c>
      <c r="C21" s="272">
        <f>SUM(C22,C25)</f>
        <v>0</v>
      </c>
      <c r="D21" s="133"/>
      <c r="E21" s="131" t="s">
        <v>232</v>
      </c>
      <c r="F21" s="277">
        <f>SUM(F13,F17,F18,F19)</f>
        <v>0</v>
      </c>
      <c r="G21" s="277">
        <f>SUM(G13,G17,G18,G19)</f>
        <v>0</v>
      </c>
    </row>
    <row r="22" spans="1:7" ht="45.6" thickTop="1" x14ac:dyDescent="0.35">
      <c r="A22" s="130" t="s">
        <v>222</v>
      </c>
      <c r="B22" s="273">
        <f>SUM(B23,B24)</f>
        <v>0</v>
      </c>
      <c r="C22" s="272">
        <f>SUM(C23,C24)</f>
        <v>0</v>
      </c>
      <c r="D22" s="133"/>
      <c r="E22" s="132" t="s">
        <v>234</v>
      </c>
      <c r="F22" s="284">
        <f>SUM(F23)</f>
        <v>0</v>
      </c>
      <c r="G22" s="285">
        <f>SUM(G23)</f>
        <v>0</v>
      </c>
    </row>
    <row r="23" spans="1:7" x14ac:dyDescent="0.35">
      <c r="A23" s="129" t="s">
        <v>223</v>
      </c>
      <c r="B23" s="273"/>
      <c r="C23" s="274"/>
      <c r="D23" s="133"/>
      <c r="E23" s="130" t="s">
        <v>236</v>
      </c>
      <c r="F23" s="273"/>
      <c r="G23" s="274"/>
    </row>
    <row r="24" spans="1:7" ht="30" x14ac:dyDescent="0.35">
      <c r="A24" s="134" t="s">
        <v>224</v>
      </c>
      <c r="B24" s="273"/>
      <c r="C24" s="274"/>
      <c r="D24" s="133"/>
      <c r="E24" s="130" t="s">
        <v>238</v>
      </c>
      <c r="F24" s="271">
        <f>SUM(F25)</f>
        <v>0</v>
      </c>
      <c r="G24" s="272">
        <f>SUM(G25)</f>
        <v>0</v>
      </c>
    </row>
    <row r="25" spans="1:7" ht="30" x14ac:dyDescent="0.35">
      <c r="A25" s="134" t="s">
        <v>225</v>
      </c>
      <c r="B25" s="273"/>
      <c r="C25" s="274"/>
      <c r="D25" s="133"/>
      <c r="E25" s="130" t="s">
        <v>236</v>
      </c>
      <c r="F25" s="273"/>
      <c r="G25" s="274"/>
    </row>
    <row r="26" spans="1:7" x14ac:dyDescent="0.35">
      <c r="A26" s="129" t="s">
        <v>226</v>
      </c>
      <c r="B26" s="271">
        <f>SUM(B27:B29)</f>
        <v>0</v>
      </c>
      <c r="C26" s="272">
        <f>SUM(C27:C29)</f>
        <v>0</v>
      </c>
      <c r="D26" s="133"/>
      <c r="E26" s="130" t="s">
        <v>241</v>
      </c>
      <c r="F26" s="271">
        <f>SUM(F27:F30)</f>
        <v>0</v>
      </c>
      <c r="G26" s="272">
        <f>SUM(G27:G30)</f>
        <v>0</v>
      </c>
    </row>
    <row r="27" spans="1:7" x14ac:dyDescent="0.35">
      <c r="A27" s="130" t="s">
        <v>228</v>
      </c>
      <c r="B27" s="271"/>
      <c r="C27" s="272"/>
      <c r="D27" s="133"/>
      <c r="E27" s="130" t="s">
        <v>242</v>
      </c>
      <c r="F27" s="271"/>
      <c r="G27" s="272"/>
    </row>
    <row r="28" spans="1:7" ht="30" x14ac:dyDescent="0.35">
      <c r="A28" s="136" t="s">
        <v>230</v>
      </c>
      <c r="B28" s="275"/>
      <c r="C28" s="276"/>
      <c r="D28" s="133"/>
      <c r="E28" s="130" t="s">
        <v>243</v>
      </c>
      <c r="F28" s="273"/>
      <c r="G28" s="274"/>
    </row>
    <row r="29" spans="1:7" ht="30.6" thickBot="1" x14ac:dyDescent="0.4">
      <c r="A29" s="310"/>
      <c r="B29" s="312"/>
      <c r="C29" s="313"/>
      <c r="D29" s="133"/>
      <c r="E29" s="136" t="s">
        <v>244</v>
      </c>
      <c r="F29" s="275"/>
      <c r="G29" s="276"/>
    </row>
    <row r="30" spans="1:7" ht="31.2" thickTop="1" thickBot="1" x14ac:dyDescent="0.4">
      <c r="A30" s="131" t="s">
        <v>231</v>
      </c>
      <c r="B30" s="277">
        <f>SUM(B13,B14,B17,B21,B26)</f>
        <v>0</v>
      </c>
      <c r="C30" s="277">
        <f>SUM(C13,C14,C17,C21,C26)</f>
        <v>0</v>
      </c>
      <c r="D30" s="133"/>
      <c r="E30" s="136"/>
      <c r="F30" s="275"/>
      <c r="G30" s="276"/>
    </row>
    <row r="31" spans="1:7" ht="36" customHeight="1" thickTop="1" thickBot="1" x14ac:dyDescent="0.4">
      <c r="A31" s="132" t="s">
        <v>233</v>
      </c>
      <c r="B31" s="278">
        <f>SUM(B32)</f>
        <v>0</v>
      </c>
      <c r="C31" s="279">
        <f>SUM(C32)</f>
        <v>0</v>
      </c>
      <c r="D31" s="133"/>
      <c r="E31" s="131" t="s">
        <v>246</v>
      </c>
      <c r="F31" s="277">
        <f>SUM(F22,F24,F26)</f>
        <v>0</v>
      </c>
      <c r="G31" s="277">
        <f>SUM(G22,G24,G26)</f>
        <v>0</v>
      </c>
    </row>
    <row r="32" spans="1:7" ht="15.6" thickTop="1" x14ac:dyDescent="0.35">
      <c r="A32" s="130" t="s">
        <v>235</v>
      </c>
      <c r="B32" s="273"/>
      <c r="C32" s="274"/>
      <c r="D32" s="133"/>
      <c r="E32" s="132"/>
      <c r="F32" s="278"/>
      <c r="G32" s="279"/>
    </row>
    <row r="33" spans="1:7" x14ac:dyDescent="0.35">
      <c r="A33" s="129" t="s">
        <v>237</v>
      </c>
      <c r="B33" s="271">
        <f>SUM(B34:B37)</f>
        <v>0</v>
      </c>
      <c r="C33" s="272">
        <f>SUM(C34:C37)</f>
        <v>0</v>
      </c>
      <c r="D33" s="133"/>
      <c r="E33" s="130"/>
      <c r="F33" s="271"/>
      <c r="G33" s="272"/>
    </row>
    <row r="34" spans="1:7" x14ac:dyDescent="0.35">
      <c r="A34" s="130" t="s">
        <v>239</v>
      </c>
      <c r="B34" s="273"/>
      <c r="C34" s="274"/>
      <c r="D34" s="133"/>
      <c r="E34" s="130"/>
      <c r="F34" s="273"/>
      <c r="G34" s="274"/>
    </row>
    <row r="35" spans="1:7" ht="30" x14ac:dyDescent="0.35">
      <c r="A35" s="136" t="s">
        <v>240</v>
      </c>
      <c r="B35" s="280"/>
      <c r="C35" s="281"/>
      <c r="D35" s="133"/>
      <c r="E35" s="130"/>
      <c r="F35" s="271"/>
      <c r="G35" s="272"/>
    </row>
    <row r="36" spans="1:7" x14ac:dyDescent="0.35">
      <c r="A36" s="136"/>
      <c r="B36" s="280"/>
      <c r="C36" s="281"/>
      <c r="D36" s="133"/>
      <c r="E36" s="136"/>
      <c r="F36" s="280"/>
      <c r="G36" s="281"/>
    </row>
    <row r="37" spans="1:7" ht="15.6" thickBot="1" x14ac:dyDescent="0.4">
      <c r="A37" s="311"/>
      <c r="B37" s="314"/>
      <c r="C37" s="315"/>
      <c r="D37" s="133"/>
      <c r="E37" s="136"/>
      <c r="F37" s="280"/>
      <c r="G37" s="281"/>
    </row>
    <row r="38" spans="1:7" ht="16.2" thickTop="1" thickBot="1" x14ac:dyDescent="0.4">
      <c r="A38" s="131" t="s">
        <v>245</v>
      </c>
      <c r="B38" s="277">
        <f>SUM(B31,B33)</f>
        <v>0</v>
      </c>
      <c r="C38" s="277">
        <f>SUM(C31,C33)</f>
        <v>0</v>
      </c>
      <c r="D38" s="133"/>
      <c r="E38" s="136"/>
      <c r="F38" s="275"/>
      <c r="G38" s="276"/>
    </row>
    <row r="39" spans="1:7" ht="16.2" thickTop="1" thickBot="1" x14ac:dyDescent="0.4">
      <c r="A39" s="137" t="s">
        <v>247</v>
      </c>
      <c r="B39" s="282">
        <f>IF(B40&lt;F40,F40-B40,0)</f>
        <v>0</v>
      </c>
      <c r="C39" s="283">
        <f>IF(C40&lt;G40,G40-C40,0)</f>
        <v>0</v>
      </c>
      <c r="D39" s="133"/>
      <c r="E39" s="131" t="s">
        <v>248</v>
      </c>
      <c r="F39" s="277">
        <f>IF(B40&gt;F40,B40-F40,0)</f>
        <v>0</v>
      </c>
      <c r="G39" s="277">
        <f>IF(C40&gt;G40,C40-G40,0)</f>
        <v>0</v>
      </c>
    </row>
    <row r="40" spans="1:7" ht="16.2" thickTop="1" thickBot="1" x14ac:dyDescent="0.4">
      <c r="A40" s="131" t="s">
        <v>249</v>
      </c>
      <c r="B40" s="277">
        <f>SUM(B30,B38)</f>
        <v>0</v>
      </c>
      <c r="C40" s="277">
        <f>SUM(C30,C38)</f>
        <v>0</v>
      </c>
      <c r="D40" s="133"/>
      <c r="E40" s="131" t="s">
        <v>250</v>
      </c>
      <c r="F40" s="277">
        <f>SUM(F21,F31)</f>
        <v>0</v>
      </c>
      <c r="G40" s="277">
        <f>SUM(G21,G31)</f>
        <v>0</v>
      </c>
    </row>
    <row r="41" spans="1:7" ht="30.6" thickTop="1" x14ac:dyDescent="0.35">
      <c r="A41" s="132" t="s">
        <v>251</v>
      </c>
      <c r="B41" s="284">
        <f>IF(B40&lt;F40,F40-B40,0)</f>
        <v>0</v>
      </c>
      <c r="C41" s="285">
        <f>IF(C40&lt;G40,G40-C40,0)</f>
        <v>0</v>
      </c>
      <c r="D41" s="133"/>
      <c r="E41" s="132" t="s">
        <v>252</v>
      </c>
      <c r="F41" s="284">
        <f>IF(B40&gt;F40,B40-F40,0)</f>
        <v>0</v>
      </c>
      <c r="G41" s="285">
        <f>IF(C40&gt;G40,C40-G40,0)</f>
        <v>0</v>
      </c>
    </row>
    <row r="42" spans="1:7" x14ac:dyDescent="0.35">
      <c r="A42" s="130" t="s">
        <v>253</v>
      </c>
      <c r="B42" s="273"/>
      <c r="C42" s="274"/>
      <c r="D42" s="133"/>
      <c r="E42" s="130"/>
      <c r="F42" s="273"/>
      <c r="G42" s="274"/>
    </row>
    <row r="43" spans="1:7" ht="30.6" thickBot="1" x14ac:dyDescent="0.4">
      <c r="A43" s="136" t="s">
        <v>254</v>
      </c>
      <c r="B43" s="275"/>
      <c r="C43" s="276"/>
      <c r="D43" s="133"/>
      <c r="E43" s="136"/>
      <c r="F43" s="275"/>
      <c r="G43" s="276"/>
    </row>
    <row r="44" spans="1:7" ht="16.2" thickTop="1" thickBot="1" x14ac:dyDescent="0.4">
      <c r="A44" s="131" t="s">
        <v>255</v>
      </c>
      <c r="B44" s="277">
        <f>IF(B40&lt;F40,F40-B40-B42-B43,0)</f>
        <v>0</v>
      </c>
      <c r="C44" s="277">
        <f>IF(C40&lt;G40,G40-C40-C42-C43,0)</f>
        <v>0</v>
      </c>
      <c r="D44" s="133"/>
      <c r="E44" s="131" t="s">
        <v>256</v>
      </c>
      <c r="F44" s="277">
        <f>IF(B40&gt;F40,B40-F40+B42+B43,0)</f>
        <v>0</v>
      </c>
      <c r="G44" s="277">
        <f>IF(C40&gt;G40,C40-G40+C42+C43,0)</f>
        <v>0</v>
      </c>
    </row>
    <row r="45" spans="1:7" ht="16.2" thickTop="1" thickBot="1" x14ac:dyDescent="0.4">
      <c r="A45" s="138" t="s">
        <v>257</v>
      </c>
      <c r="B45" s="286">
        <f>SUM(B40,B42,B43,B44)</f>
        <v>0</v>
      </c>
      <c r="C45" s="286">
        <f>SUM(C40,C42,C43,C44)</f>
        <v>0</v>
      </c>
      <c r="D45" s="133"/>
      <c r="E45" s="138" t="s">
        <v>258</v>
      </c>
      <c r="F45" s="286">
        <f>SUM(F40,F44)</f>
        <v>0</v>
      </c>
      <c r="G45" s="286">
        <f>SUM(G40,G44)</f>
        <v>0</v>
      </c>
    </row>
    <row r="46" spans="1:7" ht="15.6" thickTop="1" x14ac:dyDescent="0.35">
      <c r="A46" s="409" t="s">
        <v>357</v>
      </c>
      <c r="B46" s="409"/>
      <c r="C46" s="409"/>
      <c r="E46" s="437"/>
      <c r="F46" s="437"/>
      <c r="G46" s="437"/>
    </row>
    <row r="47" spans="1:7" x14ac:dyDescent="0.35">
      <c r="A47" s="414"/>
      <c r="B47" s="414"/>
      <c r="C47" s="414"/>
      <c r="E47" s="414"/>
      <c r="F47" s="414"/>
      <c r="G47" s="414"/>
    </row>
    <row r="48" spans="1:7" x14ac:dyDescent="0.35">
      <c r="A48" s="412" t="str">
        <f>+СБ!A79</f>
        <v>Дата на съставяне:</v>
      </c>
      <c r="B48" s="412"/>
      <c r="C48" s="412"/>
      <c r="E48" s="414"/>
      <c r="F48" s="414"/>
      <c r="G48" s="414"/>
    </row>
    <row r="49" spans="1:7" x14ac:dyDescent="0.35">
      <c r="A49" s="418">
        <f>+Съдържание!C6</f>
        <v>44312</v>
      </c>
      <c r="B49" s="418"/>
      <c r="C49" s="418"/>
      <c r="E49" s="414"/>
      <c r="F49" s="414"/>
      <c r="G49" s="414"/>
    </row>
    <row r="50" spans="1:7" x14ac:dyDescent="0.35">
      <c r="A50" s="126"/>
      <c r="B50" s="126"/>
      <c r="C50" s="126"/>
      <c r="E50" s="128"/>
      <c r="F50" s="128"/>
      <c r="G50" s="128"/>
    </row>
    <row r="51" spans="1:7" x14ac:dyDescent="0.35">
      <c r="A51" s="412" t="s">
        <v>259</v>
      </c>
      <c r="B51" s="412"/>
      <c r="C51" s="412"/>
      <c r="E51" s="412" t="s">
        <v>260</v>
      </c>
      <c r="F51" s="412"/>
      <c r="G51" s="412"/>
    </row>
    <row r="52" spans="1:7" x14ac:dyDescent="0.35">
      <c r="A52" s="412" t="str">
        <f>+Съдържание!C11</f>
        <v>ЖАНА МИЛЧОВА ГЪЛЪБОВА</v>
      </c>
      <c r="B52" s="412"/>
      <c r="C52" s="412"/>
      <c r="E52" s="412" t="str">
        <f>+Съдържание!C10</f>
        <v>ДИМИТЪР ЙОРДАНОВ ИВАНОВ</v>
      </c>
      <c r="F52" s="412"/>
      <c r="G52" s="412"/>
    </row>
  </sheetData>
  <mergeCells count="28">
    <mergeCell ref="A51:C51"/>
    <mergeCell ref="E51:G51"/>
    <mergeCell ref="A52:C52"/>
    <mergeCell ref="E52:G52"/>
    <mergeCell ref="A6:G6"/>
    <mergeCell ref="A7:G7"/>
    <mergeCell ref="A8:A10"/>
    <mergeCell ref="B8:C8"/>
    <mergeCell ref="E8:E10"/>
    <mergeCell ref="B9:B10"/>
    <mergeCell ref="C9:C10"/>
    <mergeCell ref="F9:F10"/>
    <mergeCell ref="G9:G10"/>
    <mergeCell ref="F8:G8"/>
    <mergeCell ref="A49:C49"/>
    <mergeCell ref="E49:G49"/>
    <mergeCell ref="A1:G1"/>
    <mergeCell ref="A2:G2"/>
    <mergeCell ref="A3:G3"/>
    <mergeCell ref="A4:G4"/>
    <mergeCell ref="A5:C5"/>
    <mergeCell ref="E5:G5"/>
    <mergeCell ref="A46:C46"/>
    <mergeCell ref="E46:G46"/>
    <mergeCell ref="A47:C47"/>
    <mergeCell ref="E47:G47"/>
    <mergeCell ref="A48:C48"/>
    <mergeCell ref="E48:G48"/>
  </mergeCells>
  <pageMargins left="0.59055118110236215" right="0.19685039370078738" top="0.39370078740157477" bottom="0.35433070866141736" header="0.82677165354330706" footer="0.19685039370078738"/>
  <pageSetup scale="63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2:C14"/>
  <sheetViews>
    <sheetView showGridLines="0" tabSelected="1" workbookViewId="0">
      <selection activeCell="B3" sqref="B3"/>
    </sheetView>
  </sheetViews>
  <sheetFormatPr defaultRowHeight="14.4" x14ac:dyDescent="0.3"/>
  <cols>
    <col min="1" max="1" width="70" customWidth="1"/>
  </cols>
  <sheetData>
    <row r="2" spans="1:3" ht="15" thickBot="1" x14ac:dyDescent="0.35"/>
    <row r="3" spans="1:3" ht="15" thickTop="1" x14ac:dyDescent="0.3">
      <c r="A3" s="104" t="s">
        <v>306</v>
      </c>
      <c r="B3" s="105" t="str">
        <f>IF(ABS(СБ!B76-СБ!E76)&gt;0.01,"Грешка!","Вярно!")</f>
        <v>Вярно!</v>
      </c>
      <c r="C3" s="106" t="str">
        <f>IF(ABS(СБ!B76-СБ!E76)&gt;0.01,СБ!B76-СБ!E76,"")</f>
        <v/>
      </c>
    </row>
    <row r="4" spans="1:3" x14ac:dyDescent="0.3">
      <c r="A4" s="107" t="s">
        <v>333</v>
      </c>
      <c r="B4" s="103" t="str">
        <f>IF(ABS(СБ!C77-СБ!F77)&gt;0.01,"Грешка!","Вярно!")</f>
        <v>Вярно!</v>
      </c>
      <c r="C4" s="108" t="str">
        <f>IF(ABS(СБ!C77-СБ!F77)&gt;0.01,СБ!C77-СБ!F77,"")</f>
        <v/>
      </c>
    </row>
    <row r="5" spans="1:3" x14ac:dyDescent="0.3">
      <c r="A5" s="495"/>
      <c r="B5" s="496"/>
      <c r="C5" s="497"/>
    </row>
    <row r="6" spans="1:3" x14ac:dyDescent="0.3">
      <c r="A6" s="107" t="s">
        <v>334</v>
      </c>
      <c r="B6" s="103" t="str">
        <f>IF(ABS(СБ!E27-ОПР!B45+ОПР!F45)&gt;0.01,"Грешка!","Вярно!")</f>
        <v>Вярно!</v>
      </c>
      <c r="C6" s="108" t="str">
        <f>IF(ABS(СБ!E27-ОПР!B45+ОПР!F45)&gt;0.01,СБ!E27-ОПР!B45+ОПР!F45,"")</f>
        <v/>
      </c>
    </row>
    <row r="7" spans="1:3" x14ac:dyDescent="0.3">
      <c r="A7" s="107" t="s">
        <v>334</v>
      </c>
      <c r="B7" s="103" t="str">
        <f>IF(ABS(СБ!F27-ОПР!C45+ОПР!G45)&gt;0.01,"Грешка!","Вярно!")</f>
        <v>Вярно!</v>
      </c>
      <c r="C7" s="108" t="str">
        <f>IF(ABS(СБ!F27-ОПР!C45+ОПР!G45)&gt;0.01,СБ!F27-ОПР!C45+ОПР!G45,"")</f>
        <v/>
      </c>
    </row>
    <row r="8" spans="1:3" x14ac:dyDescent="0.3">
      <c r="A8" s="107"/>
      <c r="B8" s="103"/>
      <c r="C8" s="108"/>
    </row>
    <row r="9" spans="1:3" x14ac:dyDescent="0.3">
      <c r="A9" s="107" t="s">
        <v>307</v>
      </c>
      <c r="B9" s="103" t="str">
        <f>IF(ABS(СБ!E28-ОСК!L32)&gt;0.01,"Грешка!","Вярно!")</f>
        <v>Вярно!</v>
      </c>
      <c r="C9" s="108" t="str">
        <f>IF(ABS(СБ!E28-ОСК!L32)&gt;0.01,СБ!E28-ОСК!L32,"")</f>
        <v/>
      </c>
    </row>
    <row r="10" spans="1:3" x14ac:dyDescent="0.3">
      <c r="A10" s="107" t="s">
        <v>308</v>
      </c>
      <c r="B10" s="103" t="str">
        <f>IF(ABS(СБ!F28-ОСК!L14)&gt;0.01,"Грешка!","Вярно!")</f>
        <v>Вярно!</v>
      </c>
      <c r="C10" s="108" t="str">
        <f>IF(ABS(СБ!F28-ОСК!L14)&gt;0.01,СБ!F28-ОСК!L14,"")</f>
        <v/>
      </c>
    </row>
    <row r="11" spans="1:3" x14ac:dyDescent="0.3">
      <c r="A11" s="107"/>
      <c r="B11" s="103"/>
      <c r="C11" s="108"/>
    </row>
    <row r="12" spans="1:3" x14ac:dyDescent="0.3">
      <c r="A12" s="107" t="s">
        <v>309</v>
      </c>
      <c r="B12" s="103" t="str">
        <f>IF(ABS(СБ!C69-ОПП!E40)&gt;0.01,"Грешка!","Вярно!")</f>
        <v>Вярно!</v>
      </c>
      <c r="C12" s="108" t="str">
        <f>IF(ABS(СБ!C69-ОПП!E40)&gt;0.01,СБ!C69-ОПП!E40,"")</f>
        <v/>
      </c>
    </row>
    <row r="13" spans="1:3" ht="15" thickBot="1" x14ac:dyDescent="0.35">
      <c r="A13" s="109" t="s">
        <v>310</v>
      </c>
      <c r="B13" s="110" t="str">
        <f>IF(ABS(СБ!B69-ОПП!E41)&gt;0.01,"Грешка!","Вярно!")</f>
        <v>Вярно!</v>
      </c>
      <c r="C13" s="111" t="str">
        <f>IF(ABS(СБ!B69-ОПП!E41)&gt;0.01,СБ!B69-ОПП!E41,"")</f>
        <v/>
      </c>
    </row>
    <row r="14" spans="1:3" ht="15" thickTop="1" x14ac:dyDescent="0.3"/>
  </sheetData>
  <mergeCells count="1">
    <mergeCell ref="A5:C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1:H30"/>
  <sheetViews>
    <sheetView showGridLines="0" workbookViewId="0">
      <selection activeCell="I15" sqref="I15"/>
    </sheetView>
  </sheetViews>
  <sheetFormatPr defaultColWidth="9.109375" defaultRowHeight="15" x14ac:dyDescent="0.35"/>
  <cols>
    <col min="1" max="1" width="9.109375" style="26"/>
    <col min="2" max="2" width="3.88671875" style="26" customWidth="1"/>
    <col min="3" max="3" width="37.44140625" style="26" customWidth="1"/>
    <col min="4" max="5" width="12.6640625" style="26" customWidth="1"/>
    <col min="6" max="6" width="9.109375" style="26"/>
    <col min="7" max="7" width="8.88671875" style="26" customWidth="1"/>
    <col min="8" max="8" width="9.109375" style="26" hidden="1" customWidth="1"/>
    <col min="9" max="16384" width="9.109375" style="26"/>
  </cols>
  <sheetData>
    <row r="1" spans="1:8" x14ac:dyDescent="0.35">
      <c r="A1" s="414"/>
      <c r="B1" s="414"/>
      <c r="C1" s="414"/>
      <c r="D1" s="414"/>
      <c r="E1" s="414"/>
      <c r="H1" s="26">
        <v>1</v>
      </c>
    </row>
    <row r="2" spans="1:8" x14ac:dyDescent="0.35">
      <c r="A2" s="503" t="s">
        <v>356</v>
      </c>
      <c r="B2" s="503"/>
      <c r="C2" s="503"/>
      <c r="D2" s="503"/>
      <c r="E2" s="503"/>
      <c r="H2" s="26">
        <v>1</v>
      </c>
    </row>
    <row r="3" spans="1:8" x14ac:dyDescent="0.35">
      <c r="B3" s="502" t="s">
        <v>201</v>
      </c>
      <c r="C3" s="502"/>
      <c r="D3" s="502"/>
      <c r="E3" s="502"/>
      <c r="H3" s="26">
        <v>1</v>
      </c>
    </row>
    <row r="4" spans="1:8" x14ac:dyDescent="0.35">
      <c r="B4" s="411" t="str">
        <f>+Съдържание!C7</f>
        <v>" КАМИБО " ЕООД</v>
      </c>
      <c r="C4" s="411"/>
      <c r="D4" s="411"/>
      <c r="E4" s="411"/>
      <c r="H4" s="26">
        <v>1</v>
      </c>
    </row>
    <row r="5" spans="1:8" x14ac:dyDescent="0.35">
      <c r="B5" s="415" t="str">
        <f>+Съдържание!C8</f>
        <v>ЕИК/ПИК: 131157890</v>
      </c>
      <c r="C5" s="415"/>
      <c r="D5" s="415" t="str">
        <f>+Съдържание!C9</f>
        <v>гр. София 1220, ж.к. Надежда бл. 155, вх. В, ап. 71</v>
      </c>
      <c r="E5" s="415"/>
      <c r="H5" s="26">
        <v>1</v>
      </c>
    </row>
    <row r="6" spans="1:8" x14ac:dyDescent="0.35">
      <c r="B6" s="411">
        <f>+Съдържание!C12</f>
        <v>44196</v>
      </c>
      <c r="C6" s="411"/>
      <c r="D6" s="411"/>
      <c r="E6" s="411"/>
      <c r="H6" s="26">
        <v>1</v>
      </c>
    </row>
    <row r="7" spans="1:8" ht="15.6" thickBot="1" x14ac:dyDescent="0.4">
      <c r="B7" s="406"/>
      <c r="C7" s="406"/>
      <c r="D7" s="406"/>
      <c r="E7" s="406"/>
      <c r="H7" s="26">
        <v>1</v>
      </c>
    </row>
    <row r="8" spans="1:8" ht="15" customHeight="1" thickTop="1" thickBot="1" x14ac:dyDescent="0.4">
      <c r="B8" s="398" t="s">
        <v>346</v>
      </c>
      <c r="C8" s="398"/>
      <c r="D8" s="501" t="s">
        <v>355</v>
      </c>
      <c r="E8" s="501"/>
      <c r="H8" s="26">
        <v>1</v>
      </c>
    </row>
    <row r="9" spans="1:8" ht="31.2" thickTop="1" thickBot="1" x14ac:dyDescent="0.4">
      <c r="B9" s="398"/>
      <c r="C9" s="398"/>
      <c r="D9" s="294" t="s">
        <v>4</v>
      </c>
      <c r="E9" s="294" t="s">
        <v>5</v>
      </c>
      <c r="H9" s="26">
        <v>1</v>
      </c>
    </row>
    <row r="10" spans="1:8" ht="15.6" thickTop="1" x14ac:dyDescent="0.35">
      <c r="B10" s="295"/>
      <c r="C10" s="296" t="s">
        <v>347</v>
      </c>
      <c r="D10" s="297">
        <f>+ОПР!F13</f>
        <v>0</v>
      </c>
      <c r="E10" s="298">
        <f>+ОПР!G13</f>
        <v>0</v>
      </c>
      <c r="H10" s="26" t="b">
        <f>OR(D10&lt;&gt;0,E10&lt;&gt;0)</f>
        <v>0</v>
      </c>
    </row>
    <row r="11" spans="1:8" x14ac:dyDescent="0.35">
      <c r="B11" s="299"/>
      <c r="C11" s="300" t="s">
        <v>348</v>
      </c>
      <c r="D11" s="301">
        <f>+ОПР!F20+ОПР!F18+ОПР!F19+ОПР!F32</f>
        <v>82</v>
      </c>
      <c r="E11" s="302">
        <f>+ОПР!G20+ОПР!G18+ОПР!G19+ОПР!G32</f>
        <v>79</v>
      </c>
      <c r="H11" s="26" t="b">
        <f t="shared" ref="H11:H16" si="0">OR(D11&lt;&gt;0,E11&lt;&gt;0)</f>
        <v>1</v>
      </c>
    </row>
    <row r="12" spans="1:8" ht="30" x14ac:dyDescent="0.35">
      <c r="B12" s="299"/>
      <c r="C12" s="300" t="s">
        <v>349</v>
      </c>
      <c r="D12" s="301">
        <f>+ОПР!B14</f>
        <v>211</v>
      </c>
      <c r="E12" s="302">
        <f>+ОПР!C14</f>
        <v>274</v>
      </c>
      <c r="H12" s="26" t="b">
        <f t="shared" si="0"/>
        <v>1</v>
      </c>
    </row>
    <row r="13" spans="1:8" x14ac:dyDescent="0.35">
      <c r="B13" s="299"/>
      <c r="C13" s="300" t="s">
        <v>350</v>
      </c>
      <c r="D13" s="301">
        <f>+ОПР!B18</f>
        <v>107</v>
      </c>
      <c r="E13" s="302">
        <f>+ОПР!C18</f>
        <v>124</v>
      </c>
      <c r="H13" s="26" t="b">
        <f t="shared" si="0"/>
        <v>1</v>
      </c>
    </row>
    <row r="14" spans="1:8" x14ac:dyDescent="0.35">
      <c r="B14" s="299"/>
      <c r="C14" s="300" t="s">
        <v>351</v>
      </c>
      <c r="D14" s="301">
        <f>+ОПР!B22</f>
        <v>0</v>
      </c>
      <c r="E14" s="302">
        <f>+ОПР!C22</f>
        <v>26</v>
      </c>
      <c r="H14" s="26" t="b">
        <f t="shared" si="0"/>
        <v>1</v>
      </c>
    </row>
    <row r="15" spans="1:8" x14ac:dyDescent="0.35">
      <c r="B15" s="299"/>
      <c r="C15" s="300" t="s">
        <v>352</v>
      </c>
      <c r="D15" s="301">
        <f>+ОПР!B27+ОПР!B13+ОПР!B39</f>
        <v>817</v>
      </c>
      <c r="E15" s="302">
        <f>+ОПР!C27+ОПР!C13+ОПР!C39</f>
        <v>564</v>
      </c>
      <c r="H15" s="26" t="b">
        <f t="shared" si="0"/>
        <v>1</v>
      </c>
    </row>
    <row r="16" spans="1:8" ht="15.6" thickBot="1" x14ac:dyDescent="0.4">
      <c r="B16" s="303"/>
      <c r="C16" s="304" t="s">
        <v>353</v>
      </c>
      <c r="D16" s="305">
        <f>+ОПР!B43+ОПР!B44</f>
        <v>0</v>
      </c>
      <c r="E16" s="306">
        <f>+ОПР!C43+ОПР!C44</f>
        <v>0</v>
      </c>
      <c r="H16" s="26" t="b">
        <f t="shared" si="0"/>
        <v>0</v>
      </c>
    </row>
    <row r="17" spans="2:8" ht="16.2" thickTop="1" thickBot="1" x14ac:dyDescent="0.4">
      <c r="B17" s="307"/>
      <c r="C17" s="308" t="s">
        <v>354</v>
      </c>
      <c r="D17" s="309">
        <f>(D10+D11)-(D12+D13+D14+D15+D16)</f>
        <v>-1053</v>
      </c>
      <c r="E17" s="309">
        <f>(E10+E11)-(E12+E13+E14+E15+E16)</f>
        <v>-909</v>
      </c>
      <c r="H17" s="26">
        <v>1</v>
      </c>
    </row>
    <row r="18" spans="2:8" ht="15.6" thickTop="1" x14ac:dyDescent="0.35">
      <c r="B18" s="500" t="s">
        <v>332</v>
      </c>
      <c r="C18" s="500"/>
      <c r="D18" s="500"/>
      <c r="E18" s="500"/>
      <c r="H18" s="26">
        <v>1</v>
      </c>
    </row>
    <row r="19" spans="2:8" x14ac:dyDescent="0.35">
      <c r="B19" s="498"/>
      <c r="C19" s="498"/>
      <c r="D19" s="498"/>
      <c r="E19" s="498"/>
      <c r="H19" s="26">
        <v>1</v>
      </c>
    </row>
    <row r="20" spans="2:8" x14ac:dyDescent="0.35">
      <c r="H20" s="26">
        <v>1</v>
      </c>
    </row>
    <row r="21" spans="2:8" x14ac:dyDescent="0.35">
      <c r="B21" s="412" t="s">
        <v>283</v>
      </c>
      <c r="C21" s="412"/>
      <c r="H21" s="26">
        <v>1</v>
      </c>
    </row>
    <row r="22" spans="2:8" x14ac:dyDescent="0.35">
      <c r="B22" s="499">
        <f>+Съдържание!C6</f>
        <v>44312</v>
      </c>
      <c r="C22" s="499"/>
      <c r="H22" s="26">
        <v>1</v>
      </c>
    </row>
    <row r="23" spans="2:8" x14ac:dyDescent="0.35">
      <c r="H23" s="26">
        <v>1</v>
      </c>
    </row>
    <row r="24" spans="2:8" x14ac:dyDescent="0.35">
      <c r="B24" s="412" t="s">
        <v>259</v>
      </c>
      <c r="C24" s="412"/>
      <c r="H24" s="26">
        <v>1</v>
      </c>
    </row>
    <row r="25" spans="2:8" x14ac:dyDescent="0.35">
      <c r="B25" s="412" t="str">
        <f>+Съдържание!C11</f>
        <v>ЖАНА МИЛЧОВА ГЪЛЪБОВА</v>
      </c>
      <c r="C25" s="412"/>
      <c r="H25" s="26">
        <v>1</v>
      </c>
    </row>
    <row r="26" spans="2:8" x14ac:dyDescent="0.35">
      <c r="H26" s="26">
        <v>1</v>
      </c>
    </row>
    <row r="27" spans="2:8" x14ac:dyDescent="0.35">
      <c r="B27" s="412" t="s">
        <v>260</v>
      </c>
      <c r="C27" s="412"/>
      <c r="H27" s="26">
        <v>1</v>
      </c>
    </row>
    <row r="28" spans="2:8" x14ac:dyDescent="0.35">
      <c r="B28" s="412" t="str">
        <f>+Съдържание!C10</f>
        <v>ДИМИТЪР ЙОРДАНОВ ИВАНОВ</v>
      </c>
      <c r="C28" s="412"/>
      <c r="H28" s="26">
        <v>1</v>
      </c>
    </row>
    <row r="29" spans="2:8" x14ac:dyDescent="0.35">
      <c r="H29" s="26">
        <v>1</v>
      </c>
    </row>
    <row r="30" spans="2:8" x14ac:dyDescent="0.35">
      <c r="H30" s="26">
        <v>1</v>
      </c>
    </row>
  </sheetData>
  <autoFilter ref="H1:H30" xr:uid="{00000000-0009-0000-0000-00000C000000}"/>
  <mergeCells count="18">
    <mergeCell ref="B3:E3"/>
    <mergeCell ref="B4:E4"/>
    <mergeCell ref="B5:C5"/>
    <mergeCell ref="D5:E5"/>
    <mergeCell ref="A1:E1"/>
    <mergeCell ref="A2:E2"/>
    <mergeCell ref="B6:E6"/>
    <mergeCell ref="B7:E7"/>
    <mergeCell ref="B18:E18"/>
    <mergeCell ref="B21:C21"/>
    <mergeCell ref="B8:C9"/>
    <mergeCell ref="D8:E8"/>
    <mergeCell ref="B24:C24"/>
    <mergeCell ref="B25:C25"/>
    <mergeCell ref="B27:C27"/>
    <mergeCell ref="B28:C28"/>
    <mergeCell ref="B19:E19"/>
    <mergeCell ref="B22:C22"/>
  </mergeCells>
  <pageMargins left="0.59055118110236215" right="0.19685039370078738" top="0.39370078740157477" bottom="0.35433070866141736" header="0.82677165354330706" footer="0.19685039370078738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B12"/>
  <sheetViews>
    <sheetView showGridLines="0" workbookViewId="0">
      <selection activeCell="E8" sqref="E8"/>
    </sheetView>
  </sheetViews>
  <sheetFormatPr defaultRowHeight="14.4" x14ac:dyDescent="0.3"/>
  <cols>
    <col min="1" max="1" width="50.33203125" customWidth="1"/>
    <col min="2" max="2" width="12.6640625" customWidth="1"/>
  </cols>
  <sheetData>
    <row r="1" spans="1:2" x14ac:dyDescent="0.3">
      <c r="A1" s="394" t="s">
        <v>335</v>
      </c>
      <c r="B1" s="394"/>
    </row>
    <row r="2" spans="1:2" x14ac:dyDescent="0.3">
      <c r="A2" s="394"/>
      <c r="B2" s="394"/>
    </row>
    <row r="3" spans="1:2" ht="43.2" x14ac:dyDescent="0.3">
      <c r="A3" s="288" t="s">
        <v>336</v>
      </c>
      <c r="B3" s="289"/>
    </row>
    <row r="4" spans="1:2" x14ac:dyDescent="0.3">
      <c r="A4" s="290" t="s">
        <v>337</v>
      </c>
      <c r="B4" s="289"/>
    </row>
    <row r="5" spans="1:2" ht="28.8" x14ac:dyDescent="0.3">
      <c r="A5" s="291" t="s">
        <v>338</v>
      </c>
      <c r="B5" s="289"/>
    </row>
    <row r="6" spans="1:2" ht="43.2" x14ac:dyDescent="0.3">
      <c r="A6" s="292" t="s">
        <v>339</v>
      </c>
      <c r="B6" s="289"/>
    </row>
    <row r="7" spans="1:2" x14ac:dyDescent="0.3">
      <c r="A7" s="293" t="s">
        <v>340</v>
      </c>
      <c r="B7" s="289"/>
    </row>
    <row r="8" spans="1:2" x14ac:dyDescent="0.3">
      <c r="A8" s="293" t="s">
        <v>341</v>
      </c>
      <c r="B8" s="289"/>
    </row>
    <row r="9" spans="1:2" x14ac:dyDescent="0.3">
      <c r="A9" s="293" t="s">
        <v>342</v>
      </c>
      <c r="B9" s="289"/>
    </row>
    <row r="10" spans="1:2" ht="28.8" x14ac:dyDescent="0.3">
      <c r="A10" s="288" t="s">
        <v>343</v>
      </c>
      <c r="B10" s="289"/>
    </row>
    <row r="11" spans="1:2" x14ac:dyDescent="0.3">
      <c r="A11" s="290" t="s">
        <v>344</v>
      </c>
      <c r="B11" s="289"/>
    </row>
    <row r="12" spans="1:2" x14ac:dyDescent="0.3">
      <c r="A12" s="290" t="s">
        <v>345</v>
      </c>
      <c r="B12" s="289"/>
    </row>
  </sheetData>
  <mergeCells count="2">
    <mergeCell ref="A1:B1"/>
    <mergeCell ref="A2:B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</vt:i4>
      </vt:variant>
    </vt:vector>
  </HeadingPairs>
  <TitlesOfParts>
    <vt:vector size="24" baseType="lpstr">
      <vt:lpstr>Съдържание</vt:lpstr>
      <vt:lpstr>СБ</vt:lpstr>
      <vt:lpstr>СБ съкратен</vt:lpstr>
      <vt:lpstr>Баланс за публ.2020</vt:lpstr>
      <vt:lpstr>ОПР за публ.2020</vt:lpstr>
      <vt:lpstr>ОПР</vt:lpstr>
      <vt:lpstr>ОПР съкратен</vt:lpstr>
      <vt:lpstr>ОПП</vt:lpstr>
      <vt:lpstr>ОСК</vt:lpstr>
      <vt:lpstr>ДА</vt:lpstr>
      <vt:lpstr>ОПР в стотинки</vt:lpstr>
      <vt:lpstr>Контроли</vt:lpstr>
      <vt:lpstr>ОПР съкратен едностранна форма</vt:lpstr>
      <vt:lpstr>ОПОВЕСТЯВАНИЯ КЪМ СБ-СЪКРАТЕН</vt:lpstr>
      <vt:lpstr>'Баланс за публ.2020'!Print_Area</vt:lpstr>
      <vt:lpstr>ОПП!Print_Area</vt:lpstr>
      <vt:lpstr>ОПР!Print_Area</vt:lpstr>
      <vt:lpstr>'ОПР в стотинки'!Print_Area</vt:lpstr>
      <vt:lpstr>'ОПР за публ.2020'!Print_Area</vt:lpstr>
      <vt:lpstr>'ОПР съкратен'!Print_Area</vt:lpstr>
      <vt:lpstr>'ОПР съкратен едностранна форма'!Print_Area</vt:lpstr>
      <vt:lpstr>ОСК!Print_Area</vt:lpstr>
      <vt:lpstr>СБ!Print_Area</vt:lpstr>
      <vt:lpstr>'СБ съкратен'!Print_Area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2021-04-26T14:31:53Z</dcterms:modified>
</cp:coreProperties>
</file>